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4.xml" ContentType="application/vnd.ms-excel.controlproperties+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1" codeName="{E5D1E7B1-6628-F0F0-D09B-76B25B5F3CD3}"/>
  <workbookPr codeName="ThisWorkbook"/>
  <mc:AlternateContent xmlns:mc="http://schemas.openxmlformats.org/markup-compatibility/2006">
    <mc:Choice Requires="x15">
      <x15ac:absPath xmlns:x15ac="http://schemas.microsoft.com/office/spreadsheetml/2010/11/ac" url="/Users/eerolindholm/Documents/Portfolio/Excel/"/>
    </mc:Choice>
  </mc:AlternateContent>
  <xr:revisionPtr revIDLastSave="0" documentId="13_ncr:1_{9189F3CF-C4AC-3C42-84A7-2E7A72D45F22}" xr6:coauthVersionLast="47" xr6:coauthVersionMax="47" xr10:uidLastSave="{00000000-0000-0000-0000-000000000000}"/>
  <bookViews>
    <workbookView xWindow="0" yWindow="780" windowWidth="34200" windowHeight="21360" activeTab="1" xr2:uid="{028E14FF-6D5C-4A47-9F74-664F54F242B4}"/>
  </bookViews>
  <sheets>
    <sheet name="Read_me" sheetId="13" r:id="rId1"/>
    <sheet name="Data &amp; Calculations" sheetId="1" r:id="rId2"/>
    <sheet name="Report (print)" sheetId="2" r:id="rId3"/>
    <sheet name="sensitivity" sheetId="8" r:id="rId4"/>
    <sheet name="MC_sim" sheetId="7" r:id="rId5"/>
    <sheet name="MC_data" sheetId="10" r:id="rId6"/>
    <sheet name="MC_hist" sheetId="11" r:id="rId7"/>
    <sheet name="Calculations" sheetId="12" state="hidden" r:id="rId8"/>
  </sheets>
  <externalReferences>
    <externalReference r:id="rId9"/>
  </externalReferences>
  <definedNames>
    <definedName name="_xleta.AND" hidden="1" xlm="1">#NAME?</definedName>
    <definedName name="_xleta.CELL" hidden="1" xlm="1">#NAME?</definedName>
    <definedName name="_xleta.IF" hidden="1" xlm="1">#NAME?</definedName>
    <definedName name="_xleta.IMAGE" hidden="1" xlm="1">#NAME?</definedName>
    <definedName name="_xleta.MODE" hidden="1" xlm="1">#NAME?</definedName>
    <definedName name="_xleta.SHEET" hidden="1" xlm="1">#NAME?</definedName>
    <definedName name="BF3Y">MC_sim!$BF$3</definedName>
    <definedName name="Bins">MC_sim!$C$11</definedName>
    <definedName name="Bottles_a">MC_sim!$F$5</definedName>
    <definedName name="Bottles_f">MC_sim!$F$4</definedName>
    <definedName name="Cost_per_botle" localSheetId="7">Calculations!$C$10</definedName>
    <definedName name="Cost_per_botle">'Data &amp; Calculations'!$C$10</definedName>
    <definedName name="CPB">MC_sim!$F$7</definedName>
    <definedName name="data">MC_hist!$A:$A</definedName>
    <definedName name="data_hist">MC_hist!$A:$A</definedName>
    <definedName name="data_new">MC_data!$A:$A</definedName>
    <definedName name="INV">MC_sim!$F$3</definedName>
    <definedName name="Investment" localSheetId="7">Calculations!$C$3</definedName>
    <definedName name="Investment">'Data &amp; Calculations'!$C$3</definedName>
    <definedName name="Maximi">MC_hist!$B$3</definedName>
    <definedName name="Mean">MC_hist!$J$2</definedName>
    <definedName name="Minimi">MC_hist!$B$2</definedName>
    <definedName name="Neg_share">MC_hist!$K$56</definedName>
    <definedName name="Pos_share">MC_hist!$L$56</definedName>
    <definedName name="Price" localSheetId="7">Calculations!$C$9</definedName>
    <definedName name="Price">'Data &amp; Calculations'!$C$9</definedName>
    <definedName name="Price_sim">MC_sim!$F$6</definedName>
    <definedName name="_xlnm.Print_Area" localSheetId="2">'Report (print)'!$A$1:$F$219</definedName>
    <definedName name="rep">MC_hist!$A:$A</definedName>
    <definedName name="sc" localSheetId="7">Calculations!$F$25:$J$27</definedName>
    <definedName name="sc">'Data &amp; Calculations'!$F$25:$J$27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5" i="1" l="1"/>
  <c r="C128" i="2" a="1"/>
  <c r="C128" i="2" s="1"/>
  <c r="F3" i="7" l="1"/>
  <c r="C3" i="12" s="1"/>
  <c r="F19" i="1"/>
  <c r="E41" i="2"/>
  <c r="E42" i="2"/>
  <c r="E43" i="2"/>
  <c r="C184" i="2"/>
  <c r="D184" i="2"/>
  <c r="C185" i="2"/>
  <c r="D185" i="2"/>
  <c r="C186" i="2"/>
  <c r="D186" i="2"/>
  <c r="C187" i="2"/>
  <c r="D187" i="2"/>
  <c r="C188" i="2"/>
  <c r="D188" i="2"/>
  <c r="C18" i="2"/>
  <c r="C20" i="2"/>
  <c r="C22" i="2"/>
  <c r="C23" i="2"/>
  <c r="C24" i="2"/>
  <c r="C25" i="2"/>
  <c r="C27" i="2"/>
  <c r="C28" i="2"/>
  <c r="C29" i="2"/>
  <c r="C31" i="2"/>
  <c r="H25" i="1"/>
  <c r="H26" i="1"/>
  <c r="B2" i="11"/>
  <c r="C16" i="7" s="1"/>
  <c r="B1" i="11"/>
  <c r="B3" i="11"/>
  <c r="C17" i="7" s="1"/>
  <c r="F7" i="7"/>
  <c r="C10" i="12" s="1"/>
  <c r="F5" i="7"/>
  <c r="C8" i="12" s="1"/>
  <c r="F4" i="7"/>
  <c r="C7" i="12" s="1"/>
  <c r="C15" i="12"/>
  <c r="S10" i="12"/>
  <c r="R10" i="12"/>
  <c r="Q10" i="12"/>
  <c r="P10" i="12"/>
  <c r="O10" i="12"/>
  <c r="L10" i="12"/>
  <c r="K10" i="12"/>
  <c r="J10" i="12"/>
  <c r="I10" i="12"/>
  <c r="H10" i="12"/>
  <c r="G7" i="12"/>
  <c r="G9" i="12" s="1"/>
  <c r="F7" i="12"/>
  <c r="F9" i="12" s="1"/>
  <c r="F6" i="7"/>
  <c r="C9" i="12" s="1"/>
  <c r="I25" i="1"/>
  <c r="J26" i="1"/>
  <c r="J27" i="1"/>
  <c r="F21" i="1"/>
  <c r="I26" i="1"/>
  <c r="F20" i="1"/>
  <c r="F17" i="1"/>
  <c r="H27" i="1"/>
  <c r="J25" i="1"/>
  <c r="I27" i="1"/>
  <c r="C130" i="2" s="1" a="1"/>
  <c r="C130" i="2" s="1"/>
  <c r="F18" i="1"/>
  <c r="C30" i="2"/>
  <c r="P10" i="1"/>
  <c r="Q10" i="1"/>
  <c r="R10" i="1"/>
  <c r="S10" i="1"/>
  <c r="O10" i="1"/>
  <c r="I10" i="1"/>
  <c r="J10" i="1"/>
  <c r="K10" i="1"/>
  <c r="L10" i="1"/>
  <c r="H10" i="1"/>
  <c r="G7" i="1"/>
  <c r="G9" i="1" s="1"/>
  <c r="F7" i="1"/>
  <c r="F9" i="1" s="1"/>
  <c r="C129" i="2" l="1" a="1"/>
  <c r="C129" i="2" s="1"/>
  <c r="C131" i="2" a="1"/>
  <c r="C131" i="2" s="1"/>
  <c r="H27" i="12"/>
  <c r="S5" i="1"/>
  <c r="F17" i="12"/>
  <c r="C211" i="2"/>
  <c r="C210" i="2"/>
  <c r="F4" i="1"/>
  <c r="B4" i="11"/>
  <c r="B5" i="11" s="1"/>
  <c r="B8" i="11" s="1"/>
  <c r="F21" i="12"/>
  <c r="J27" i="12"/>
  <c r="J26" i="12"/>
  <c r="J25" i="12"/>
  <c r="F19" i="12"/>
  <c r="F18" i="12"/>
  <c r="C4" i="12"/>
  <c r="Q8" i="12" s="1"/>
  <c r="H25" i="12"/>
  <c r="H26" i="12"/>
  <c r="G4" i="12" s="1"/>
  <c r="G11" i="12" s="1"/>
  <c r="G12" i="12" s="1"/>
  <c r="H5" i="1"/>
  <c r="S6" i="1"/>
  <c r="R5" i="1"/>
  <c r="Q5" i="1"/>
  <c r="P5" i="1"/>
  <c r="O5" i="1"/>
  <c r="J5" i="1"/>
  <c r="N5" i="1"/>
  <c r="I5" i="1"/>
  <c r="M5" i="1"/>
  <c r="K5" i="1"/>
  <c r="L5" i="1"/>
  <c r="J6" i="1"/>
  <c r="H6" i="1"/>
  <c r="I6" i="1"/>
  <c r="R6" i="1"/>
  <c r="Q6" i="1"/>
  <c r="P6" i="1"/>
  <c r="O6" i="1"/>
  <c r="N6" i="1"/>
  <c r="M6" i="1"/>
  <c r="K6" i="1"/>
  <c r="L6" i="1"/>
  <c r="G4" i="1"/>
  <c r="G11" i="1" s="1"/>
  <c r="G12" i="1" s="1"/>
  <c r="C4" i="1"/>
  <c r="I8" i="1" s="1"/>
  <c r="C19" i="2" l="1"/>
  <c r="H8" i="1"/>
  <c r="B7" i="11"/>
  <c r="F2" i="11" s="1"/>
  <c r="R6" i="12"/>
  <c r="K6" i="12"/>
  <c r="N6" i="12"/>
  <c r="Q6" i="12"/>
  <c r="O6" i="12"/>
  <c r="M6" i="12"/>
  <c r="P6" i="12"/>
  <c r="S6" i="12"/>
  <c r="L6" i="12"/>
  <c r="J6" i="12"/>
  <c r="H6" i="12"/>
  <c r="I6" i="12"/>
  <c r="F4" i="12"/>
  <c r="F11" i="12" s="1"/>
  <c r="F12" i="12" s="1"/>
  <c r="H8" i="12"/>
  <c r="L8" i="12"/>
  <c r="J8" i="12"/>
  <c r="M8" i="12"/>
  <c r="O8" i="12"/>
  <c r="K8" i="12"/>
  <c r="I8" i="12"/>
  <c r="S8" i="12"/>
  <c r="R8" i="12"/>
  <c r="P8" i="12"/>
  <c r="N8" i="12"/>
  <c r="S7" i="1"/>
  <c r="R7" i="1"/>
  <c r="N8" i="1"/>
  <c r="L8" i="1"/>
  <c r="K7" i="1"/>
  <c r="H7" i="1"/>
  <c r="F11" i="1"/>
  <c r="Q8" i="1"/>
  <c r="S8" i="1"/>
  <c r="K8" i="1"/>
  <c r="R8" i="1"/>
  <c r="P8" i="1"/>
  <c r="M8" i="1"/>
  <c r="J8" i="1"/>
  <c r="O8" i="1"/>
  <c r="J7" i="1"/>
  <c r="I7" i="1"/>
  <c r="I9" i="1" s="1"/>
  <c r="H9" i="1" l="1"/>
  <c r="H11" i="1" s="1"/>
  <c r="B9" i="11"/>
  <c r="F3" i="11" s="1"/>
  <c r="G13" i="12"/>
  <c r="F13" i="12"/>
  <c r="F12" i="1"/>
  <c r="F13" i="1" s="1"/>
  <c r="I11" i="1"/>
  <c r="I12" i="1" s="1"/>
  <c r="J9" i="1"/>
  <c r="J11" i="1" s="1"/>
  <c r="J12" i="1" s="1"/>
  <c r="G2" i="11" l="1"/>
  <c r="F4" i="11"/>
  <c r="G3" i="11" s="1"/>
  <c r="L3" i="11" s="1"/>
  <c r="G13" i="1"/>
  <c r="H12" i="1"/>
  <c r="H2" i="11" l="1"/>
  <c r="L2" i="11"/>
  <c r="K2" i="11"/>
  <c r="F5" i="11"/>
  <c r="G4" i="11" s="1"/>
  <c r="L4" i="11" s="1"/>
  <c r="H3" i="11"/>
  <c r="K3" i="11"/>
  <c r="I13" i="1"/>
  <c r="J13" i="1"/>
  <c r="H13" i="1"/>
  <c r="F6" i="11" l="1"/>
  <c r="H4" i="11"/>
  <c r="K4" i="11"/>
  <c r="K9" i="1"/>
  <c r="K11" i="1" s="1"/>
  <c r="L7" i="1"/>
  <c r="L9" i="1" s="1"/>
  <c r="L11" i="1" s="1"/>
  <c r="L12" i="1" s="1"/>
  <c r="P7" i="1"/>
  <c r="P9" i="1" s="1"/>
  <c r="P11" i="1" s="1"/>
  <c r="P12" i="1" s="1"/>
  <c r="S9" i="1"/>
  <c r="S11" i="1" s="1"/>
  <c r="S12" i="1" s="1"/>
  <c r="M7" i="1"/>
  <c r="M9" i="1" s="1"/>
  <c r="M11" i="1" s="1"/>
  <c r="M12" i="1" s="1"/>
  <c r="Q7" i="1"/>
  <c r="Q9" i="1" s="1"/>
  <c r="Q11" i="1" s="1"/>
  <c r="Q12" i="1" s="1"/>
  <c r="N7" i="1"/>
  <c r="N9" i="1" s="1"/>
  <c r="N11" i="1" s="1"/>
  <c r="N12" i="1" s="1"/>
  <c r="O7" i="1"/>
  <c r="O9" i="1" s="1"/>
  <c r="O11" i="1" s="1"/>
  <c r="O12" i="1" s="1"/>
  <c r="R9" i="1"/>
  <c r="R11" i="1" s="1"/>
  <c r="R12" i="1" s="1"/>
  <c r="F7" i="11" l="1"/>
  <c r="G5" i="11"/>
  <c r="C20" i="1"/>
  <c r="C35" i="2" s="1"/>
  <c r="K12" i="1"/>
  <c r="L13" i="1" s="1"/>
  <c r="K5" i="11" l="1"/>
  <c r="L5" i="11"/>
  <c r="G6" i="11"/>
  <c r="F8" i="11"/>
  <c r="H5" i="11"/>
  <c r="T7" i="8"/>
  <c r="T3" i="8"/>
  <c r="T4" i="8"/>
  <c r="T5" i="8"/>
  <c r="T6" i="8"/>
  <c r="N13" i="1"/>
  <c r="K13" i="1"/>
  <c r="S13" i="1"/>
  <c r="C19" i="1" s="1"/>
  <c r="C133" i="2" s="1"/>
  <c r="R13" i="1"/>
  <c r="O13" i="1"/>
  <c r="P13" i="1"/>
  <c r="Q13" i="1"/>
  <c r="M13" i="1"/>
  <c r="K6" i="11" l="1"/>
  <c r="L6" i="11"/>
  <c r="C22" i="1" a="1"/>
  <c r="C22" i="1" s="1"/>
  <c r="C37" i="2" s="1"/>
  <c r="H6" i="11"/>
  <c r="F9" i="11"/>
  <c r="G8" i="11" s="1"/>
  <c r="L8" i="11" s="1"/>
  <c r="G7" i="11"/>
  <c r="C34" i="2"/>
  <c r="C21" i="1"/>
  <c r="C36" i="2" s="1"/>
  <c r="K7" i="11" l="1"/>
  <c r="L7" i="11"/>
  <c r="F10" i="11"/>
  <c r="H7" i="11"/>
  <c r="H8" i="11"/>
  <c r="K8" i="11"/>
  <c r="H4" i="8"/>
  <c r="H5" i="8"/>
  <c r="H6" i="8"/>
  <c r="H7" i="8"/>
  <c r="H3" i="8"/>
  <c r="I26" i="12"/>
  <c r="M5" i="12" s="1"/>
  <c r="M7" i="12" s="1"/>
  <c r="F20" i="12"/>
  <c r="I27" i="12"/>
  <c r="I25" i="12"/>
  <c r="G9" i="11" l="1"/>
  <c r="F11" i="11"/>
  <c r="G10" i="11" s="1"/>
  <c r="L10" i="11" s="1"/>
  <c r="N5" i="12"/>
  <c r="N7" i="12" s="1"/>
  <c r="N9" i="12" s="1"/>
  <c r="N11" i="12" s="1"/>
  <c r="N12" i="12" s="1"/>
  <c r="S5" i="12"/>
  <c r="S7" i="12" s="1"/>
  <c r="S9" i="12" s="1"/>
  <c r="S11" i="12" s="1"/>
  <c r="S12" i="12" s="1"/>
  <c r="P5" i="12"/>
  <c r="P7" i="12" s="1"/>
  <c r="P9" i="12" s="1"/>
  <c r="P11" i="12" s="1"/>
  <c r="P12" i="12" s="1"/>
  <c r="M9" i="12"/>
  <c r="M11" i="12" s="1"/>
  <c r="M12" i="12" s="1"/>
  <c r="J5" i="12"/>
  <c r="J7" i="12" s="1"/>
  <c r="I5" i="12"/>
  <c r="I7" i="12" s="1"/>
  <c r="Q5" i="12"/>
  <c r="Q7" i="12" s="1"/>
  <c r="R5" i="12"/>
  <c r="R7" i="12" s="1"/>
  <c r="K5" i="12"/>
  <c r="K7" i="12" s="1"/>
  <c r="H5" i="12"/>
  <c r="H7" i="12" s="1"/>
  <c r="L5" i="12"/>
  <c r="L7" i="12" s="1"/>
  <c r="O5" i="12"/>
  <c r="O7" i="12" s="1"/>
  <c r="K9" i="11" l="1"/>
  <c r="L9" i="11"/>
  <c r="H9" i="11"/>
  <c r="F12" i="11"/>
  <c r="H10" i="11"/>
  <c r="K10" i="11"/>
  <c r="H9" i="12"/>
  <c r="H11" i="12" s="1"/>
  <c r="K9" i="12"/>
  <c r="K11" i="12" s="1"/>
  <c r="K12" i="12" s="1"/>
  <c r="O9" i="12"/>
  <c r="O11" i="12" s="1"/>
  <c r="O12" i="12" s="1"/>
  <c r="R9" i="12"/>
  <c r="R11" i="12" s="1"/>
  <c r="R12" i="12" s="1"/>
  <c r="L9" i="12"/>
  <c r="L11" i="12" s="1"/>
  <c r="L12" i="12" s="1"/>
  <c r="Q9" i="12"/>
  <c r="Q11" i="12" s="1"/>
  <c r="Q12" i="12" s="1"/>
  <c r="I9" i="12"/>
  <c r="I11" i="12" s="1"/>
  <c r="I12" i="12" s="1"/>
  <c r="J9" i="12"/>
  <c r="J11" i="12" s="1"/>
  <c r="J12" i="12" s="1"/>
  <c r="F13" i="11" l="1"/>
  <c r="G11" i="11"/>
  <c r="C20" i="12"/>
  <c r="H12" i="12"/>
  <c r="G12" i="11" l="1"/>
  <c r="H12" i="11" s="1"/>
  <c r="F14" i="11"/>
  <c r="F15" i="11" s="1"/>
  <c r="H11" i="11"/>
  <c r="L11" i="11"/>
  <c r="K11" i="11"/>
  <c r="M13" i="12"/>
  <c r="Q13" i="12"/>
  <c r="H13" i="12"/>
  <c r="O13" i="12"/>
  <c r="P13" i="12"/>
  <c r="N13" i="12"/>
  <c r="R13" i="12"/>
  <c r="I13" i="12"/>
  <c r="S13" i="12"/>
  <c r="L13" i="12"/>
  <c r="J13" i="12"/>
  <c r="K13" i="12"/>
  <c r="L12" i="11" l="1"/>
  <c r="K12" i="11"/>
  <c r="G13" i="11"/>
  <c r="C22" i="12" a="1"/>
  <c r="C22" i="12" s="1"/>
  <c r="C19" i="12"/>
  <c r="C21" i="12"/>
  <c r="H13" i="11" l="1"/>
  <c r="L13" i="11"/>
  <c r="G14" i="11"/>
  <c r="L14" i="11" s="1"/>
  <c r="F16" i="11"/>
  <c r="G15" i="11" s="1"/>
  <c r="L15" i="11" s="1"/>
  <c r="K13" i="11"/>
  <c r="K14" i="11" l="1"/>
  <c r="H14" i="11"/>
  <c r="F17" i="11"/>
  <c r="G16" i="11" s="1"/>
  <c r="L16" i="11" s="1"/>
  <c r="H15" i="11"/>
  <c r="K15" i="11"/>
  <c r="F18" i="11" l="1"/>
  <c r="H16" i="11"/>
  <c r="K16" i="11"/>
  <c r="G17" i="11" l="1"/>
  <c r="L17" i="11" s="1"/>
  <c r="F19" i="11"/>
  <c r="G18" i="11"/>
  <c r="L18" i="11" s="1"/>
  <c r="K17" i="11" l="1"/>
  <c r="H17" i="11"/>
  <c r="F20" i="11"/>
  <c r="H18" i="11"/>
  <c r="K18" i="11"/>
  <c r="G19" i="11"/>
  <c r="F21" i="11"/>
  <c r="L19" i="11" l="1"/>
  <c r="H19" i="11"/>
  <c r="K19" i="11"/>
  <c r="G20" i="11"/>
  <c r="F22" i="11"/>
  <c r="F23" i="11" l="1"/>
  <c r="F24" i="11" s="1"/>
  <c r="F25" i="11" s="1"/>
  <c r="F26" i="11" s="1"/>
  <c r="F27" i="11" s="1"/>
  <c r="F28" i="11" s="1"/>
  <c r="F29" i="11" s="1"/>
  <c r="F30" i="11" s="1"/>
  <c r="F31" i="11" s="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L20" i="11"/>
  <c r="H20" i="11"/>
  <c r="K20" i="11"/>
  <c r="G21" i="11"/>
  <c r="L21" i="11" s="1"/>
  <c r="H21" i="11" l="1"/>
  <c r="K21" i="11"/>
  <c r="G22" i="11"/>
  <c r="L22" i="11" s="1"/>
  <c r="H22" i="11" l="1"/>
  <c r="K22" i="11"/>
  <c r="G23" i="11"/>
  <c r="H23" i="11" s="1"/>
  <c r="L23" i="11" l="1"/>
  <c r="K23" i="11"/>
  <c r="G24" i="11"/>
  <c r="L24" i="11" s="1"/>
  <c r="H24" i="11" l="1"/>
  <c r="K24" i="11"/>
  <c r="G25" i="11"/>
  <c r="L25" i="11" s="1"/>
  <c r="G26" i="11" l="1"/>
  <c r="L26" i="11" s="1"/>
  <c r="H25" i="11"/>
  <c r="K25" i="11"/>
  <c r="H26" i="11" l="1"/>
  <c r="K26" i="11"/>
  <c r="G27" i="11"/>
  <c r="L27" i="11" s="1"/>
  <c r="H27" i="11" l="1"/>
  <c r="K27" i="11"/>
  <c r="G28" i="11"/>
  <c r="L28" i="11" s="1"/>
  <c r="H28" i="11" l="1"/>
  <c r="K28" i="11"/>
  <c r="G29" i="11"/>
  <c r="L29" i="11" s="1"/>
  <c r="H29" i="11" l="1"/>
  <c r="K29" i="11"/>
  <c r="G30" i="11"/>
  <c r="L30" i="11" s="1"/>
  <c r="H30" i="11" l="1"/>
  <c r="K30" i="11"/>
  <c r="G31" i="11"/>
  <c r="L31" i="11" s="1"/>
  <c r="G32" i="11" l="1"/>
  <c r="L32" i="11" s="1"/>
  <c r="H31" i="11"/>
  <c r="K31" i="11"/>
  <c r="G33" i="11" l="1"/>
  <c r="L33" i="11" s="1"/>
  <c r="H32" i="11"/>
  <c r="K32" i="11"/>
  <c r="H33" i="11" l="1"/>
  <c r="K33" i="11"/>
  <c r="G34" i="11"/>
  <c r="L34" i="11" s="1"/>
  <c r="H34" i="11" l="1"/>
  <c r="K34" i="11"/>
  <c r="G35" i="11"/>
  <c r="K36" i="11"/>
  <c r="K35" i="11" l="1"/>
  <c r="L35" i="11"/>
  <c r="G36" i="11"/>
  <c r="L36" i="11" s="1"/>
  <c r="K37" i="11"/>
  <c r="H35" i="11"/>
  <c r="G37" i="11" l="1"/>
  <c r="K38" i="11"/>
  <c r="H36" i="11"/>
  <c r="G38" i="11" l="1"/>
  <c r="K39" i="11"/>
  <c r="H37" i="11"/>
  <c r="L37" i="11"/>
  <c r="G39" i="11" l="1"/>
  <c r="K40" i="11"/>
  <c r="H38" i="11"/>
  <c r="L38" i="11"/>
  <c r="G40" i="11" l="1"/>
  <c r="K41" i="11"/>
  <c r="H39" i="11"/>
  <c r="L39" i="11"/>
  <c r="H40" i="11" l="1"/>
  <c r="L40" i="11"/>
  <c r="G41" i="11"/>
  <c r="K42" i="11"/>
  <c r="G42" i="11" l="1"/>
  <c r="K43" i="11"/>
  <c r="H41" i="11"/>
  <c r="L41" i="11"/>
  <c r="H42" i="11" l="1"/>
  <c r="L42" i="11"/>
  <c r="G43" i="11"/>
  <c r="K44" i="11"/>
  <c r="H43" i="11" l="1"/>
  <c r="L43" i="11"/>
  <c r="G44" i="11"/>
  <c r="K45" i="11"/>
  <c r="H44" i="11" l="1"/>
  <c r="L44" i="11"/>
  <c r="G45" i="11"/>
  <c r="K46" i="11"/>
  <c r="H45" i="11" l="1"/>
  <c r="L45" i="11"/>
  <c r="G46" i="11"/>
  <c r="K47" i="11"/>
  <c r="G47" i="11" l="1"/>
  <c r="K48" i="11"/>
  <c r="H46" i="11"/>
  <c r="L46" i="11"/>
  <c r="H47" i="11" l="1"/>
  <c r="L47" i="11"/>
  <c r="G48" i="11"/>
  <c r="K49" i="11"/>
  <c r="G49" i="11"/>
  <c r="H49" i="11" s="1"/>
  <c r="H48" i="11" l="1"/>
  <c r="L48" i="11"/>
  <c r="K50" i="11"/>
  <c r="L49" i="11"/>
  <c r="G50" i="11" l="1"/>
  <c r="K51" i="11"/>
  <c r="G51" i="11"/>
  <c r="H51" i="11" s="1"/>
  <c r="H50" i="11" l="1"/>
  <c r="L50" i="11"/>
  <c r="K52" i="11"/>
  <c r="K54" i="11" s="1"/>
  <c r="L51" i="11"/>
  <c r="G52" i="11"/>
  <c r="G54" i="11" s="1"/>
  <c r="L52" i="11" l="1"/>
  <c r="L54" i="11" s="1"/>
  <c r="J2" i="11"/>
  <c r="C15" i="7" s="1"/>
  <c r="H52" i="11"/>
  <c r="C209" i="2" l="1"/>
  <c r="N54" i="11"/>
  <c r="K56" i="11" s="1"/>
  <c r="C18" i="7" s="1"/>
  <c r="C212" i="2" l="1"/>
  <c r="L56" i="11"/>
  <c r="C20" i="7" l="1"/>
  <c r="C214" i="2" s="1"/>
  <c r="N56" i="1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<sst xmlns="http://schemas.openxmlformats.org/spreadsheetml/2006/main" count="253" uniqueCount="126">
  <si>
    <t>Investment</t>
  </si>
  <si>
    <t>Cost per botle</t>
  </si>
  <si>
    <t>Corporate tax</t>
  </si>
  <si>
    <t>Inflation</t>
  </si>
  <si>
    <t>Working capital investment (year)</t>
  </si>
  <si>
    <t>Profitability indicators</t>
  </si>
  <si>
    <t>Working capital investment</t>
  </si>
  <si>
    <t>NPV</t>
  </si>
  <si>
    <t>IRR</t>
  </si>
  <si>
    <t>PI</t>
  </si>
  <si>
    <t>DPP</t>
  </si>
  <si>
    <t>Time</t>
  </si>
  <si>
    <t>Revenue</t>
  </si>
  <si>
    <t>Initial Investment</t>
  </si>
  <si>
    <t>Operating profit</t>
  </si>
  <si>
    <t>Operating Costs</t>
  </si>
  <si>
    <t>Depreciation</t>
  </si>
  <si>
    <t>Taxes</t>
  </si>
  <si>
    <t>Free Cash Flow (FCF)</t>
  </si>
  <si>
    <t xml:space="preserve">Building time </t>
  </si>
  <si>
    <t>Price</t>
  </si>
  <si>
    <t>Discounted Cash Flow (DCF)</t>
  </si>
  <si>
    <t>Discount rate</t>
  </si>
  <si>
    <t>Real  discount rate</t>
  </si>
  <si>
    <t>Cum DCF</t>
  </si>
  <si>
    <t>a) NPV is positive so investment should be profitable.</t>
  </si>
  <si>
    <t>Bottles first 3 years</t>
  </si>
  <si>
    <t>Bottles after 3 years</t>
  </si>
  <si>
    <t>Orginal</t>
  </si>
  <si>
    <t>IF NVP = 0</t>
  </si>
  <si>
    <t>Bottles after 3 years (units)</t>
  </si>
  <si>
    <t>Investment Calculations</t>
  </si>
  <si>
    <t>Inputs</t>
  </si>
  <si>
    <t>Questions (Douple click cell for full ans):</t>
  </si>
  <si>
    <t>b) It tells the limit values after which the investment/project becomes unprofitable/profitable.</t>
  </si>
  <si>
    <t>Factors</t>
  </si>
  <si>
    <t>Sensitivity Inputs</t>
  </si>
  <si>
    <t>Investment can grow from 10M$ to 15M$, if other varibles stay still, and investment would not be negative</t>
  </si>
  <si>
    <t>If company can't sell more than original 1M bottles per year, to the end of plant, business will still be profitable</t>
  </si>
  <si>
    <t>If bottles start to cost more than 1,22$/bottle, company will lose money yo his project</t>
  </si>
  <si>
    <t>Pessimistic</t>
  </si>
  <si>
    <t>Optimistic</t>
  </si>
  <si>
    <t>Realistic</t>
  </si>
  <si>
    <t>Scenario</t>
  </si>
  <si>
    <t>Cost per bottle</t>
  </si>
  <si>
    <t>Scenario analysis</t>
  </si>
  <si>
    <t>Default</t>
  </si>
  <si>
    <t>c) Investment &amp; Price are most crucial factors for project profitability</t>
  </si>
  <si>
    <t>d) It can show how small chances affects bigger picture.</t>
  </si>
  <si>
    <t>Input Variables</t>
  </si>
  <si>
    <t>Make sure that scenario analysis in on "default" before runing "Renew"-macro</t>
  </si>
  <si>
    <t>Breakeven analysis</t>
  </si>
  <si>
    <t>Comment (orginal values)</t>
  </si>
  <si>
    <t>Min</t>
  </si>
  <si>
    <t xml:space="preserve">Max </t>
  </si>
  <si>
    <t>Simulations</t>
  </si>
  <si>
    <t>RAND</t>
  </si>
  <si>
    <t>FOR Monte Carlo Simulation</t>
  </si>
  <si>
    <t>Max</t>
  </si>
  <si>
    <t>Range</t>
  </si>
  <si>
    <t>Rounding</t>
  </si>
  <si>
    <t>Min_new</t>
  </si>
  <si>
    <t>Max_new</t>
  </si>
  <si>
    <t># bins</t>
  </si>
  <si>
    <t>#bin</t>
  </si>
  <si>
    <t>Count</t>
  </si>
  <si>
    <t>Probability</t>
  </si>
  <si>
    <t>Output Table</t>
  </si>
  <si>
    <t>Expected NPV</t>
  </si>
  <si>
    <t>Min NPV</t>
  </si>
  <si>
    <t>Max NPV</t>
  </si>
  <si>
    <t>Share of neagative NPV's</t>
  </si>
  <si>
    <t>Share of positive NPV's</t>
  </si>
  <si>
    <t>Mean</t>
  </si>
  <si>
    <t>Negative sum</t>
  </si>
  <si>
    <t>Positive sum</t>
  </si>
  <si>
    <t>Sum</t>
  </si>
  <si>
    <t>Yht.</t>
  </si>
  <si>
    <t>Share</t>
  </si>
  <si>
    <t>Note:</t>
  </si>
  <si>
    <t>You can change these inputs</t>
  </si>
  <si>
    <t>Investment Decision Support Model</t>
  </si>
  <si>
    <t>1. Purpose of the Model</t>
  </si>
  <si>
    <t>This workbook is an investment decision support model designed to combine deterministic financial calculations with Monte Carlo simulation. The model helps evaluate uncertainty, risk distribution, and expected outcomes to support informed investment decisions.</t>
  </si>
  <si>
    <t>2. Recommended Workflow</t>
  </si>
  <si>
    <t>A) Input Assumptions</t>
  </si>
  <si>
    <t>  • C3  = Investment</t>
  </si>
  <si>
    <t>  • C8  = Bottles sold after 3 years</t>
  </si>
  <si>
    <t>  • C10 = Cost per bottle</t>
  </si>
  <si>
    <t>B) Run Monte Carlo Simulation</t>
  </si>
  <si>
    <t>C) Reporting</t>
  </si>
  <si>
    <t>3. Sheet Overview</t>
  </si>
  <si>
    <t>Data &amp; Calculations: Main input parameters and core financial calculations.</t>
  </si>
  <si>
    <t>MC_sim: Simulation control panel and visualization (Chart 2).</t>
  </si>
  <si>
    <t>MC_data: Raw Monte Carlo simulation output (one result per simulation).</t>
  </si>
  <si>
    <t>MC_hist: Histogram bins, frequencies, and distribution calculations.</t>
  </si>
  <si>
    <t>Report (print): Printable report page. Chart 2 is inserted here automatically.</t>
  </si>
  <si>
    <t>4. Key Macros</t>
  </si>
  <si>
    <t>loop_mac: Runs the Monte Carlo simulation, updates charts, applies color coding, and refreshes the report output.</t>
  </si>
  <si>
    <t>ColorHistogramBars: Colors histogram bars based on negative (loss) or positive (gain) outcomes.</t>
  </si>
  <si>
    <t>PasteChartPictureToReport: Pastes Chart 2 to the report sheet and removes the previous image.</t>
  </si>
  <si>
    <t>bigmac: Goal Seek based sensitivity analysis for key input variables.</t>
  </si>
  <si>
    <t>Inputs_as_in_assignment: Restores predefined input values.</t>
  </si>
  <si>
    <t>Save_PDF_To_Workbook_Folder: Saves the report sheet as a PDF file.</t>
  </si>
  <si>
    <t>5. Notes</t>
  </si>
  <si>
    <t xml:space="preserve"> Go to sheet: Data &amp; Calculations</t>
  </si>
  <si>
    <t xml:space="preserve"> Go to sheet: MC_sim</t>
  </si>
  <si>
    <t xml:space="preserve"> Set number of simulations in cell C10</t>
  </si>
  <si>
    <t xml:space="preserve"> Chart 2 is pasted to the Report (print) sheet</t>
  </si>
  <si>
    <t xml:space="preserve"> Go to sheet: Report (print)</t>
  </si>
  <si>
    <t xml:space="preserve"> Review results and charts</t>
  </si>
  <si>
    <t xml:space="preserve"> Export to PDF if required</t>
  </si>
  <si>
    <t xml:space="preserve"> The model automatically restores Excel to Automatic Calculation mode after simulations.</t>
  </si>
  <si>
    <t xml:space="preserve"> Histogram colors indicate downside risk (red) and upside potential (green).</t>
  </si>
  <si>
    <t xml:space="preserve"> Only one chart image is kept on the report sheet to avoid stacking.</t>
  </si>
  <si>
    <t xml:space="preserve"> Update input cells:</t>
  </si>
  <si>
    <t xml:space="preserve"> Run "Monte Carlo Macro"</t>
  </si>
  <si>
    <t xml:space="preserve"> Histogram and Chart 2 are updated automatically</t>
  </si>
  <si>
    <t>Questions:</t>
  </si>
  <si>
    <t>e) Monte Carlo Shows that (in my) min &amp; max inputs 80-87% of scenarios NVP will be positive.</t>
  </si>
  <si>
    <t>Parameter</t>
  </si>
  <si>
    <t>Value</t>
  </si>
  <si>
    <t>Bins (#50, do not change)</t>
  </si>
  <si>
    <t>Choose scenario</t>
  </si>
  <si>
    <t>Calculations (Hidden): Model output logic. Monte Carlo reads the simulated value from cell C19.</t>
  </si>
  <si>
    <r>
      <rPr>
        <b/>
        <sz val="11"/>
        <color theme="1"/>
        <rFont val="Calibri"/>
        <family val="2"/>
        <scheme val="minor"/>
      </rPr>
      <t xml:space="preserve">1. </t>
    </r>
    <r>
      <rPr>
        <sz val="11"/>
        <color theme="1"/>
        <rFont val="Calibri"/>
        <family val="2"/>
        <scheme val="minor"/>
      </rPr>
      <t xml:space="preserve">Bottom on your screen you can see Monte Carlo simulation progress status when running the simulation. 
</t>
    </r>
    <r>
      <rPr>
        <b/>
        <sz val="11"/>
        <color theme="1"/>
        <rFont val="Calibri"/>
        <family val="2"/>
        <scheme val="minor"/>
      </rPr>
      <t xml:space="preserve">2. </t>
    </r>
    <r>
      <rPr>
        <sz val="11"/>
        <color theme="1"/>
        <rFont val="Calibri"/>
        <family val="2"/>
        <scheme val="minor"/>
      </rPr>
      <t xml:space="preserve">500 simulation takes around 10sec depending on your computer.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</si>
</sst>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 #,##0.00\ &quot;€&quot;_-;\-* #,##0.00\ &quot;€&quot;_-;_-* &quot;-&quot;??\ &quot;€&quot;_-;_-@_-"/>
    <numFmt numFmtId="164" formatCode="_-[$$-409]* #,##0.00_ ;_-[$$-409]* \-#,##0.00\ ;_-[$$-409]* &quot;-&quot;??_ ;_-@_ "/>
    <numFmt numFmtId="165" formatCode="0.0"/>
    <numFmt numFmtId="166" formatCode="0.0%"/>
    <numFmt numFmtId="167" formatCode="0.0\ %"/>
  </numFmts>
  <fonts count="12" x14ac:knownFonts="1">
    <font>
      <sz val="11"/>
      <color theme="1"/>
      <name val="Calibri"/>
      <family val="2"/>
      <scheme val="minor"/>
    </font>
    <font>
      <sz val="11"/>
      <color theme="1"/>
      <name val="Calibri"/>
      <family val="2"/>
      <scheme val="minor"/>
    </font>
    <font>
      <b/>
      <sz val="11"/>
      <color theme="1"/>
      <name val="Calibri"/>
      <family val="2"/>
      <scheme val="minor"/>
    </font>
    <font>
      <b/>
      <u/>
      <sz val="11"/>
      <color theme="1"/>
      <name val="Calibri"/>
      <family val="2"/>
      <scheme val="minor"/>
    </font>
    <font>
      <b/>
      <sz val="11"/>
      <color theme="1"/>
      <name val="Calibri"/>
      <family val="2"/>
      <charset val="204"/>
      <scheme val="minor"/>
    </font>
    <font>
      <sz val="11"/>
      <color rgb="FF000000"/>
      <name val="Calibri"/>
      <family val="2"/>
    </font>
    <font>
      <sz val="26"/>
      <color theme="1"/>
      <name val="Calibri"/>
      <family val="2"/>
      <scheme val="minor"/>
    </font>
    <font>
      <sz val="36"/>
      <color rgb="FFFF0000"/>
      <name val="Calibri"/>
      <family val="2"/>
      <scheme val="minor"/>
    </font>
    <font>
      <b/>
      <sz val="11"/>
      <name val="Calibri"/>
      <family val="2"/>
      <scheme val="minor"/>
    </font>
    <font>
      <sz val="11"/>
      <color rgb="FF000000"/>
      <name val="Calibri"/>
      <family val="2"/>
      <scheme val="minor"/>
    </font>
    <font>
      <b/>
      <sz val="14"/>
      <color theme="1"/>
      <name val="Calibri"/>
      <family val="2"/>
      <scheme val="minor"/>
    </font>
    <font>
      <b/>
      <sz val="11"/>
      <color rgb="FF000000"/>
      <name val="Calibri"/>
      <family val="2"/>
      <scheme val="minor"/>
    </font>
  </fonts>
  <fills count="21">
    <fill>
      <patternFill patternType="none"/>
    </fill>
    <fill>
      <patternFill patternType="gray125"/>
    </fill>
    <fill>
      <patternFill patternType="solid">
        <fgColor theme="4" tint="0.59999389629810485"/>
        <bgColor indexed="65"/>
      </patternFill>
    </fill>
    <fill>
      <patternFill patternType="solid">
        <fgColor theme="7" tint="0.59999389629810485"/>
        <bgColor indexed="65"/>
      </patternFill>
    </fill>
    <fill>
      <patternFill patternType="solid">
        <fgColor theme="9" tint="0.79998168889431442"/>
        <bgColor indexed="65"/>
      </patternFill>
    </fill>
    <fill>
      <patternFill patternType="solid">
        <fgColor theme="5" tint="0.79998168889431442"/>
        <bgColor indexed="65"/>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6" tint="0.59999389629810485"/>
        <bgColor indexed="64"/>
      </patternFill>
    </fill>
    <fill>
      <patternFill patternType="solid">
        <fgColor rgb="FFE2A7FF"/>
        <bgColor indexed="64"/>
      </patternFill>
    </fill>
    <fill>
      <patternFill patternType="solid">
        <fgColor theme="9" tint="0.39997558519241921"/>
        <bgColor indexed="64"/>
      </patternFill>
    </fill>
    <fill>
      <patternFill patternType="solid">
        <fgColor theme="2"/>
        <bgColor indexed="64"/>
      </patternFill>
    </fill>
    <fill>
      <patternFill patternType="solid">
        <fgColor rgb="FFAFFDFF"/>
        <bgColor indexed="64"/>
      </patternFill>
    </fill>
    <fill>
      <patternFill patternType="solid">
        <fgColor theme="4" tint="0.79998168889431442"/>
        <bgColor indexed="65"/>
      </patternFill>
    </fill>
    <fill>
      <patternFill patternType="solid">
        <fgColor theme="8" tint="0.59999389629810485"/>
        <bgColor indexed="65"/>
      </patternFill>
    </fill>
    <fill>
      <patternFill patternType="solid">
        <fgColor theme="4" tint="0.39997558519241921"/>
        <bgColor indexed="64"/>
      </patternFill>
    </fill>
    <fill>
      <patternFill patternType="solid">
        <fgColor rgb="FFAFFFE4"/>
        <bgColor indexed="64"/>
      </patternFill>
    </fill>
  </fills>
  <borders count="34">
    <border>
      <left/>
      <right/>
      <top/>
      <bottom/>
      <diagonal/>
    </border>
    <border>
      <left style="hair">
        <color auto="1"/>
      </left>
      <right style="hair">
        <color auto="1"/>
      </right>
      <top style="thin">
        <color auto="1"/>
      </top>
      <bottom style="thin">
        <color auto="1"/>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hair">
        <color auto="1"/>
      </left>
      <right style="hair">
        <color auto="1"/>
      </right>
      <top style="thin">
        <color auto="1"/>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9">
    <xf numFmtId="0" fontId="0" fillId="0" borderId="0"/>
    <xf numFmtId="44" fontId="1" fillId="0" borderId="0" applyFont="0" applyFill="0" applyBorder="0" applyAlignment="0" applyProtection="0"/>
    <xf numFmtId="9" fontId="1"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cellStyleXfs>
  <cellXfs count="194">
    <xf numFmtId="0" fontId="0" fillId="0" borderId="0" xfId="0"/>
    <xf numFmtId="164" fontId="0" fillId="0" borderId="0" xfId="1" applyNumberFormat="1" applyFont="1"/>
    <xf numFmtId="0" fontId="0" fillId="0" borderId="1" xfId="0" applyBorder="1" applyAlignment="1">
      <alignment horizontal="center" vertical="center"/>
    </xf>
    <xf numFmtId="164" fontId="0" fillId="0" borderId="1" xfId="1" applyNumberFormat="1" applyFont="1" applyBorder="1"/>
    <xf numFmtId="0" fontId="0" fillId="0" borderId="2" xfId="0" applyBorder="1" applyAlignment="1">
      <alignment horizontal="left" vertical="center"/>
    </xf>
    <xf numFmtId="0" fontId="0" fillId="0" borderId="3" xfId="0" applyBorder="1" applyAlignment="1">
      <alignment horizontal="center" vertical="center"/>
    </xf>
    <xf numFmtId="0" fontId="0" fillId="0" borderId="2" xfId="0" applyBorder="1"/>
    <xf numFmtId="164" fontId="0" fillId="0" borderId="3" xfId="1" applyNumberFormat="1" applyFont="1" applyBorder="1"/>
    <xf numFmtId="0" fontId="0" fillId="0" borderId="4" xfId="0" applyBorder="1"/>
    <xf numFmtId="164" fontId="0" fillId="0" borderId="9" xfId="1" applyNumberFormat="1" applyFont="1" applyBorder="1"/>
    <xf numFmtId="164" fontId="0" fillId="0" borderId="5" xfId="1" applyNumberFormat="1" applyFont="1" applyBorder="1"/>
    <xf numFmtId="164" fontId="0" fillId="0" borderId="0" xfId="1" applyNumberFormat="1" applyFont="1" applyBorder="1"/>
    <xf numFmtId="164" fontId="0" fillId="0" borderId="3" xfId="0" applyNumberFormat="1" applyBorder="1"/>
    <xf numFmtId="10" fontId="0" fillId="0" borderId="3" xfId="2" applyNumberFormat="1" applyFont="1" applyBorder="1"/>
    <xf numFmtId="2" fontId="0" fillId="0" borderId="3" xfId="2" applyNumberFormat="1" applyFont="1" applyBorder="1"/>
    <xf numFmtId="2" fontId="0" fillId="0" borderId="5" xfId="1" applyNumberFormat="1" applyFont="1" applyBorder="1"/>
    <xf numFmtId="164" fontId="0" fillId="0" borderId="10" xfId="0" applyNumberFormat="1" applyBorder="1"/>
    <xf numFmtId="0" fontId="2" fillId="0" borderId="10" xfId="0" applyFont="1" applyBorder="1" applyAlignment="1">
      <alignment horizontal="center"/>
    </xf>
    <xf numFmtId="0" fontId="0" fillId="0" borderId="10" xfId="0" applyBorder="1"/>
    <xf numFmtId="164" fontId="2" fillId="0" borderId="10" xfId="1" applyNumberFormat="1" applyFont="1" applyBorder="1" applyAlignment="1">
      <alignment horizontal="center"/>
    </xf>
    <xf numFmtId="1" fontId="0" fillId="0" borderId="10" xfId="0" applyNumberFormat="1" applyBorder="1"/>
    <xf numFmtId="0" fontId="2" fillId="0" borderId="10" xfId="0" applyFont="1" applyBorder="1" applyAlignment="1">
      <alignment horizontal="center" vertical="center"/>
    </xf>
    <xf numFmtId="0" fontId="0" fillId="6" borderId="10" xfId="0" applyFill="1" applyBorder="1"/>
    <xf numFmtId="0" fontId="4" fillId="0" borderId="0" xfId="0" applyFont="1"/>
    <xf numFmtId="9" fontId="0" fillId="8" borderId="0" xfId="0" applyNumberFormat="1" applyFill="1"/>
    <xf numFmtId="0" fontId="0" fillId="9" borderId="0" xfId="0" applyFill="1"/>
    <xf numFmtId="0" fontId="0" fillId="10" borderId="0" xfId="0" applyFill="1"/>
    <xf numFmtId="165" fontId="0" fillId="0" borderId="0" xfId="0" applyNumberFormat="1"/>
    <xf numFmtId="165" fontId="0" fillId="11" borderId="0" xfId="0" applyNumberFormat="1" applyFill="1"/>
    <xf numFmtId="2" fontId="0" fillId="0" borderId="0" xfId="0" applyNumberFormat="1"/>
    <xf numFmtId="166" fontId="0" fillId="0" borderId="0" xfId="2" applyNumberFormat="1" applyFont="1"/>
    <xf numFmtId="166" fontId="0" fillId="11" borderId="0" xfId="2" applyNumberFormat="1" applyFont="1" applyFill="1"/>
    <xf numFmtId="166" fontId="0" fillId="0" borderId="0" xfId="2" applyNumberFormat="1" applyFont="1" applyFill="1"/>
    <xf numFmtId="0" fontId="0" fillId="0" borderId="10" xfId="1" applyNumberFormat="1" applyFont="1" applyBorder="1" applyAlignment="1"/>
    <xf numFmtId="164" fontId="0" fillId="0" borderId="0" xfId="0" applyNumberFormat="1"/>
    <xf numFmtId="0" fontId="2" fillId="0" borderId="10" xfId="0" applyFont="1" applyBorder="1"/>
    <xf numFmtId="0" fontId="0" fillId="6" borderId="16" xfId="0" applyFill="1" applyBorder="1"/>
    <xf numFmtId="164" fontId="0" fillId="0" borderId="17" xfId="0" applyNumberFormat="1" applyBorder="1"/>
    <xf numFmtId="0" fontId="0" fillId="6" borderId="17" xfId="0" applyFill="1" applyBorder="1"/>
    <xf numFmtId="1" fontId="0" fillId="0" borderId="17" xfId="0" applyNumberFormat="1" applyBorder="1"/>
    <xf numFmtId="0" fontId="0" fillId="6" borderId="18" xfId="0" applyFill="1" applyBorder="1"/>
    <xf numFmtId="164" fontId="0" fillId="0" borderId="19" xfId="0" applyNumberFormat="1" applyBorder="1"/>
    <xf numFmtId="0" fontId="0" fillId="0" borderId="16" xfId="0" applyBorder="1"/>
    <xf numFmtId="0" fontId="2" fillId="0" borderId="17" xfId="0" applyFont="1" applyBorder="1"/>
    <xf numFmtId="0" fontId="0" fillId="0" borderId="18" xfId="0" applyBorder="1"/>
    <xf numFmtId="0" fontId="0" fillId="0" borderId="20" xfId="0" applyBorder="1"/>
    <xf numFmtId="164" fontId="0" fillId="0" borderId="0" xfId="1" applyNumberFormat="1" applyFont="1" applyBorder="1" applyAlignment="1">
      <alignment horizontal="right"/>
    </xf>
    <xf numFmtId="0" fontId="0" fillId="15" borderId="0" xfId="0" applyFill="1"/>
    <xf numFmtId="0" fontId="0" fillId="6" borderId="0" xfId="0" applyFill="1"/>
    <xf numFmtId="164" fontId="2" fillId="0" borderId="0" xfId="1" applyNumberFormat="1" applyFont="1" applyBorder="1" applyAlignment="1">
      <alignment horizontal="center"/>
    </xf>
    <xf numFmtId="1" fontId="0" fillId="0" borderId="0" xfId="0" applyNumberFormat="1"/>
    <xf numFmtId="0" fontId="0" fillId="6" borderId="0" xfId="0" applyFill="1" applyAlignment="1">
      <alignment horizontal="center"/>
    </xf>
    <xf numFmtId="0" fontId="2" fillId="6" borderId="0" xfId="0" applyFont="1" applyFill="1"/>
    <xf numFmtId="0" fontId="0" fillId="6" borderId="0" xfId="0" applyFill="1" applyAlignment="1">
      <alignment vertical="center"/>
    </xf>
    <xf numFmtId="164" fontId="2" fillId="6" borderId="0" xfId="6" applyNumberFormat="1" applyFont="1" applyFill="1" applyBorder="1" applyAlignment="1">
      <alignment horizontal="center"/>
    </xf>
    <xf numFmtId="0" fontId="3" fillId="0" borderId="0" xfId="0" applyFont="1"/>
    <xf numFmtId="0" fontId="0" fillId="0" borderId="23" xfId="0" applyBorder="1" applyAlignment="1">
      <alignment vertical="top"/>
    </xf>
    <xf numFmtId="0" fontId="0" fillId="0" borderId="0" xfId="0" applyAlignment="1">
      <alignment vertical="top"/>
    </xf>
    <xf numFmtId="164" fontId="0" fillId="0" borderId="24" xfId="1" applyNumberFormat="1" applyFont="1" applyBorder="1"/>
    <xf numFmtId="0" fontId="0" fillId="0" borderId="25" xfId="0" applyBorder="1"/>
    <xf numFmtId="164" fontId="0" fillId="0" borderId="12" xfId="1" applyNumberFormat="1" applyFont="1" applyBorder="1"/>
    <xf numFmtId="164" fontId="0" fillId="0" borderId="26" xfId="1" applyNumberFormat="1" applyFont="1" applyBorder="1"/>
    <xf numFmtId="0" fontId="2" fillId="14" borderId="21" xfId="0" applyFont="1" applyFill="1" applyBorder="1"/>
    <xf numFmtId="0" fontId="2" fillId="14" borderId="29" xfId="0" applyFont="1" applyFill="1" applyBorder="1"/>
    <xf numFmtId="9" fontId="0" fillId="0" borderId="0" xfId="2" applyFont="1"/>
    <xf numFmtId="0" fontId="1" fillId="17" borderId="0" xfId="7"/>
    <xf numFmtId="9" fontId="1" fillId="17" borderId="0" xfId="7" applyNumberFormat="1"/>
    <xf numFmtId="0" fontId="1" fillId="3" borderId="0" xfId="4"/>
    <xf numFmtId="9" fontId="1" fillId="3" borderId="0" xfId="4" applyNumberFormat="1"/>
    <xf numFmtId="0" fontId="0" fillId="3" borderId="0" xfId="4" applyFont="1"/>
    <xf numFmtId="0" fontId="0" fillId="6" borderId="23" xfId="0" applyFill="1" applyBorder="1"/>
    <xf numFmtId="0" fontId="0" fillId="6" borderId="24" xfId="0" applyFill="1" applyBorder="1"/>
    <xf numFmtId="0" fontId="0" fillId="6" borderId="25" xfId="0" applyFill="1" applyBorder="1"/>
    <xf numFmtId="0" fontId="0" fillId="6" borderId="26" xfId="0" applyFill="1" applyBorder="1"/>
    <xf numFmtId="0" fontId="0" fillId="8" borderId="0" xfId="0" applyFill="1"/>
    <xf numFmtId="164" fontId="0" fillId="8" borderId="0" xfId="0" applyNumberFormat="1" applyFill="1"/>
    <xf numFmtId="0" fontId="0" fillId="6" borderId="12" xfId="0" applyFill="1" applyBorder="1"/>
    <xf numFmtId="0" fontId="0" fillId="6" borderId="22" xfId="0" applyFill="1" applyBorder="1"/>
    <xf numFmtId="164" fontId="0" fillId="6" borderId="24" xfId="0" applyNumberFormat="1" applyFill="1" applyBorder="1"/>
    <xf numFmtId="0" fontId="2" fillId="14" borderId="11" xfId="0" applyFont="1" applyFill="1" applyBorder="1" applyAlignment="1">
      <alignment horizontal="right"/>
    </xf>
    <xf numFmtId="0" fontId="2" fillId="14" borderId="22" xfId="0" applyFont="1" applyFill="1" applyBorder="1" applyAlignment="1">
      <alignment horizontal="right"/>
    </xf>
    <xf numFmtId="0" fontId="2" fillId="14" borderId="25" xfId="0" applyFont="1" applyFill="1" applyBorder="1"/>
    <xf numFmtId="9" fontId="0" fillId="6" borderId="0" xfId="2" applyFont="1" applyFill="1" applyAlignment="1">
      <alignment horizontal="center"/>
    </xf>
    <xf numFmtId="164" fontId="0" fillId="8" borderId="0" xfId="1" applyNumberFormat="1" applyFont="1" applyFill="1" applyBorder="1"/>
    <xf numFmtId="164" fontId="0" fillId="8" borderId="0" xfId="1" applyNumberFormat="1" applyFont="1" applyFill="1" applyBorder="1" applyAlignment="1">
      <alignment horizontal="right"/>
    </xf>
    <xf numFmtId="0" fontId="3" fillId="8" borderId="0" xfId="0" applyFont="1" applyFill="1"/>
    <xf numFmtId="0" fontId="0" fillId="8" borderId="0" xfId="0" applyFill="1" applyAlignment="1">
      <alignment vertical="top"/>
    </xf>
    <xf numFmtId="1" fontId="0" fillId="6" borderId="24" xfId="0" applyNumberFormat="1" applyFill="1" applyBorder="1"/>
    <xf numFmtId="0" fontId="0" fillId="6" borderId="23" xfId="0" applyFill="1" applyBorder="1" applyAlignment="1">
      <alignment horizontal="left" vertical="center"/>
    </xf>
    <xf numFmtId="0" fontId="0" fillId="6" borderId="0" xfId="0" applyFill="1" applyAlignment="1">
      <alignment horizontal="center" vertical="center"/>
    </xf>
    <xf numFmtId="0" fontId="0" fillId="6" borderId="24" xfId="0" applyFill="1" applyBorder="1" applyAlignment="1">
      <alignment horizontal="center" vertical="center"/>
    </xf>
    <xf numFmtId="164" fontId="0" fillId="6" borderId="0" xfId="1" applyNumberFormat="1" applyFont="1" applyFill="1" applyBorder="1"/>
    <xf numFmtId="164" fontId="0" fillId="6" borderId="24" xfId="1" applyNumberFormat="1" applyFont="1" applyFill="1" applyBorder="1"/>
    <xf numFmtId="164" fontId="0" fillId="6" borderId="12" xfId="1" applyNumberFormat="1" applyFont="1" applyFill="1" applyBorder="1"/>
    <xf numFmtId="164" fontId="0" fillId="6" borderId="26" xfId="1" applyNumberFormat="1" applyFont="1" applyFill="1" applyBorder="1"/>
    <xf numFmtId="0" fontId="2" fillId="6" borderId="24" xfId="0" applyFont="1" applyFill="1" applyBorder="1"/>
    <xf numFmtId="164" fontId="0" fillId="6" borderId="0" xfId="0" applyNumberFormat="1" applyFill="1"/>
    <xf numFmtId="164" fontId="0" fillId="6" borderId="12" xfId="0" applyNumberFormat="1" applyFill="1" applyBorder="1"/>
    <xf numFmtId="164" fontId="0" fillId="6" borderId="26" xfId="0" applyNumberFormat="1" applyFill="1" applyBorder="1"/>
    <xf numFmtId="10" fontId="0" fillId="6" borderId="24" xfId="2" applyNumberFormat="1" applyFont="1" applyFill="1" applyBorder="1"/>
    <xf numFmtId="2" fontId="0" fillId="6" borderId="24" xfId="2" applyNumberFormat="1" applyFont="1" applyFill="1" applyBorder="1"/>
    <xf numFmtId="2" fontId="0" fillId="6" borderId="26" xfId="1" applyNumberFormat="1" applyFont="1" applyFill="1" applyBorder="1"/>
    <xf numFmtId="164" fontId="2" fillId="6" borderId="24" xfId="1" applyNumberFormat="1" applyFont="1" applyFill="1" applyBorder="1" applyAlignment="1">
      <alignment horizontal="center"/>
    </xf>
    <xf numFmtId="0" fontId="0" fillId="6" borderId="0" xfId="1" applyNumberFormat="1" applyFont="1" applyFill="1" applyBorder="1" applyAlignment="1"/>
    <xf numFmtId="0" fontId="0" fillId="6" borderId="23" xfId="0" applyFill="1" applyBorder="1" applyAlignment="1">
      <alignment vertical="top"/>
    </xf>
    <xf numFmtId="0" fontId="0" fillId="6" borderId="0" xfId="0" applyFill="1" applyAlignment="1">
      <alignment vertical="top"/>
    </xf>
    <xf numFmtId="0" fontId="0" fillId="8" borderId="0" xfId="0" applyFill="1" applyAlignment="1">
      <alignment vertical="top" wrapText="1"/>
    </xf>
    <xf numFmtId="0" fontId="0" fillId="0" borderId="23" xfId="0" applyBorder="1"/>
    <xf numFmtId="164" fontId="0" fillId="0" borderId="24" xfId="0" applyNumberFormat="1" applyBorder="1"/>
    <xf numFmtId="0" fontId="0" fillId="0" borderId="24" xfId="0" applyBorder="1"/>
    <xf numFmtId="1" fontId="0" fillId="0" borderId="24" xfId="0" applyNumberFormat="1" applyBorder="1"/>
    <xf numFmtId="0" fontId="0" fillId="0" borderId="26" xfId="0" applyBorder="1"/>
    <xf numFmtId="0" fontId="2" fillId="6" borderId="0" xfId="0" applyFont="1" applyFill="1" applyAlignment="1">
      <alignment horizontal="center"/>
    </xf>
    <xf numFmtId="1" fontId="0" fillId="6" borderId="0" xfId="0" applyNumberFormat="1" applyFill="1"/>
    <xf numFmtId="0" fontId="2" fillId="6" borderId="0" xfId="0" applyFont="1" applyFill="1" applyAlignment="1">
      <alignment horizontal="left" vertical="center"/>
    </xf>
    <xf numFmtId="164" fontId="0" fillId="20" borderId="24" xfId="0" applyNumberFormat="1" applyFill="1" applyBorder="1"/>
    <xf numFmtId="1" fontId="0" fillId="20" borderId="24" xfId="0" applyNumberFormat="1" applyFill="1" applyBorder="1"/>
    <xf numFmtId="0" fontId="0" fillId="6" borderId="23" xfId="0" applyFill="1" applyBorder="1" applyAlignment="1">
      <alignment horizontal="left" wrapText="1"/>
    </xf>
    <xf numFmtId="167" fontId="0" fillId="6" borderId="24" xfId="2" applyNumberFormat="1" applyFont="1" applyFill="1" applyBorder="1" applyAlignment="1">
      <alignment horizontal="center" vertical="center"/>
    </xf>
    <xf numFmtId="0" fontId="0" fillId="6" borderId="25" xfId="0" applyFill="1" applyBorder="1" applyAlignment="1">
      <alignment horizontal="left" wrapText="1"/>
    </xf>
    <xf numFmtId="167" fontId="0" fillId="6" borderId="26" xfId="2" applyNumberFormat="1" applyFont="1" applyFill="1" applyBorder="1" applyAlignment="1">
      <alignment horizontal="center" vertical="center"/>
    </xf>
    <xf numFmtId="0" fontId="2" fillId="19" borderId="21" xfId="0" applyFont="1" applyFill="1" applyBorder="1" applyAlignment="1">
      <alignment horizontal="center"/>
    </xf>
    <xf numFmtId="0" fontId="2" fillId="19" borderId="11" xfId="0" applyFont="1" applyFill="1" applyBorder="1" applyAlignment="1">
      <alignment horizontal="center"/>
    </xf>
    <xf numFmtId="0" fontId="2" fillId="19" borderId="22" xfId="0" applyFont="1" applyFill="1" applyBorder="1" applyAlignment="1">
      <alignment horizontal="center"/>
    </xf>
    <xf numFmtId="0" fontId="2" fillId="19" borderId="21" xfId="3" applyFont="1" applyFill="1" applyBorder="1" applyAlignment="1">
      <alignment horizontal="center"/>
    </xf>
    <xf numFmtId="0" fontId="2" fillId="19" borderId="11" xfId="3" applyFont="1" applyFill="1" applyBorder="1" applyAlignment="1">
      <alignment horizontal="center"/>
    </xf>
    <xf numFmtId="0" fontId="2" fillId="19" borderId="22" xfId="3" applyFont="1" applyFill="1" applyBorder="1" applyAlignment="1">
      <alignment horizontal="center"/>
    </xf>
    <xf numFmtId="0" fontId="2" fillId="19" borderId="21" xfId="4" applyFont="1" applyFill="1" applyBorder="1" applyAlignment="1">
      <alignment horizontal="center"/>
    </xf>
    <xf numFmtId="0" fontId="2" fillId="19" borderId="22" xfId="4" applyFont="1" applyFill="1" applyBorder="1" applyAlignment="1">
      <alignment horizontal="center"/>
    </xf>
    <xf numFmtId="0" fontId="2" fillId="19" borderId="21" xfId="5" applyFont="1" applyFill="1" applyBorder="1" applyAlignment="1">
      <alignment horizontal="center"/>
    </xf>
    <xf numFmtId="0" fontId="2" fillId="19" borderId="22" xfId="5" applyFont="1" applyFill="1" applyBorder="1" applyAlignment="1">
      <alignment horizontal="center"/>
    </xf>
    <xf numFmtId="164" fontId="2" fillId="19" borderId="21" xfId="6" applyNumberFormat="1" applyFont="1" applyFill="1" applyBorder="1" applyAlignment="1">
      <alignment horizontal="center"/>
    </xf>
    <xf numFmtId="164" fontId="2" fillId="19" borderId="11" xfId="6" applyNumberFormat="1" applyFont="1" applyFill="1" applyBorder="1" applyAlignment="1">
      <alignment horizontal="center"/>
    </xf>
    <xf numFmtId="164" fontId="2" fillId="19" borderId="22" xfId="6" applyNumberFormat="1" applyFont="1" applyFill="1" applyBorder="1" applyAlignment="1">
      <alignment horizontal="center"/>
    </xf>
    <xf numFmtId="0" fontId="0" fillId="6" borderId="23" xfId="0" applyFill="1" applyBorder="1" applyAlignment="1">
      <alignment horizontal="left" wrapText="1"/>
    </xf>
    <xf numFmtId="167" fontId="0" fillId="6" borderId="24" xfId="2" applyNumberFormat="1" applyFont="1" applyFill="1" applyBorder="1" applyAlignment="1">
      <alignment horizontal="center" vertical="center"/>
    </xf>
    <xf numFmtId="0" fontId="0" fillId="6" borderId="25" xfId="0" applyFill="1" applyBorder="1" applyAlignment="1">
      <alignment horizontal="left" wrapText="1"/>
    </xf>
    <xf numFmtId="167" fontId="0" fillId="6" borderId="26" xfId="2" applyNumberFormat="1" applyFont="1" applyFill="1" applyBorder="1" applyAlignment="1">
      <alignment horizontal="center" vertical="center"/>
    </xf>
    <xf numFmtId="0" fontId="2" fillId="14" borderId="21" xfId="8" applyFont="1" applyFill="1" applyBorder="1" applyAlignment="1">
      <alignment horizontal="center"/>
    </xf>
    <xf numFmtId="0" fontId="2" fillId="14" borderId="22" xfId="8" applyFont="1" applyFill="1" applyBorder="1" applyAlignment="1">
      <alignment horizontal="center"/>
    </xf>
    <xf numFmtId="0" fontId="4" fillId="7" borderId="0" xfId="0" applyFont="1" applyFill="1" applyAlignment="1">
      <alignment horizontal="center"/>
    </xf>
    <xf numFmtId="0" fontId="0" fillId="6" borderId="23" xfId="0" applyFill="1" applyBorder="1" applyAlignment="1">
      <alignment horizontal="left" vertical="top" wrapText="1"/>
    </xf>
    <xf numFmtId="0" fontId="0" fillId="6" borderId="24" xfId="0" applyFill="1" applyBorder="1" applyAlignment="1">
      <alignment horizontal="left" vertical="top" wrapText="1"/>
    </xf>
    <xf numFmtId="0" fontId="0" fillId="6" borderId="25" xfId="0" applyFill="1" applyBorder="1" applyAlignment="1">
      <alignment horizontal="left" vertical="top" wrapText="1"/>
    </xf>
    <xf numFmtId="0" fontId="0" fillId="6" borderId="26" xfId="0" applyFill="1" applyBorder="1" applyAlignment="1">
      <alignment horizontal="left" vertical="top" wrapText="1"/>
    </xf>
    <xf numFmtId="0" fontId="8" fillId="14" borderId="21" xfId="0" applyFont="1" applyFill="1" applyBorder="1" applyAlignment="1">
      <alignment horizontal="center"/>
    </xf>
    <xf numFmtId="0" fontId="8" fillId="14" borderId="22" xfId="0" applyFont="1" applyFill="1" applyBorder="1" applyAlignment="1">
      <alignment horizontal="center"/>
    </xf>
    <xf numFmtId="0" fontId="2" fillId="8" borderId="0" xfId="8" applyFont="1" applyFill="1" applyBorder="1" applyAlignment="1">
      <alignment horizontal="center"/>
    </xf>
    <xf numFmtId="0" fontId="0" fillId="8" borderId="0" xfId="0" applyFill="1" applyAlignment="1">
      <alignment horizontal="left" wrapText="1"/>
    </xf>
    <xf numFmtId="167" fontId="0" fillId="8" borderId="0" xfId="2" applyNumberFormat="1" applyFont="1" applyFill="1" applyBorder="1" applyAlignment="1">
      <alignment horizontal="center" vertical="center"/>
    </xf>
    <xf numFmtId="0" fontId="2" fillId="16" borderId="21" xfId="0" applyFont="1" applyFill="1" applyBorder="1" applyAlignment="1">
      <alignment horizontal="center"/>
    </xf>
    <xf numFmtId="0" fontId="2" fillId="16" borderId="11" xfId="0" applyFont="1" applyFill="1" applyBorder="1" applyAlignment="1">
      <alignment horizontal="center"/>
    </xf>
    <xf numFmtId="0" fontId="2" fillId="16" borderId="22" xfId="0" applyFont="1" applyFill="1" applyBorder="1" applyAlignment="1">
      <alignment horizontal="center"/>
    </xf>
    <xf numFmtId="0" fontId="7" fillId="0" borderId="0" xfId="0" applyFont="1" applyAlignment="1">
      <alignment horizontal="center"/>
    </xf>
    <xf numFmtId="0" fontId="6" fillId="0" borderId="0" xfId="0" applyFont="1" applyAlignment="1">
      <alignment horizontal="center"/>
    </xf>
    <xf numFmtId="0" fontId="2" fillId="3" borderId="10" xfId="4" applyFont="1" applyBorder="1" applyAlignment="1">
      <alignment horizontal="center"/>
    </xf>
    <xf numFmtId="0" fontId="2" fillId="2" borderId="6" xfId="3" applyFont="1" applyBorder="1" applyAlignment="1">
      <alignment horizontal="center"/>
    </xf>
    <xf numFmtId="0" fontId="2" fillId="2" borderId="7" xfId="3" applyFont="1" applyBorder="1" applyAlignment="1">
      <alignment horizontal="center"/>
    </xf>
    <xf numFmtId="0" fontId="2" fillId="2" borderId="8" xfId="3" applyFont="1" applyBorder="1" applyAlignment="1">
      <alignment horizontal="center"/>
    </xf>
    <xf numFmtId="0" fontId="2" fillId="12" borderId="14" xfId="4" applyFont="1" applyFill="1" applyBorder="1" applyAlignment="1">
      <alignment horizontal="center"/>
    </xf>
    <xf numFmtId="0" fontId="2" fillId="12" borderId="15" xfId="4" applyFont="1" applyFill="1" applyBorder="1" applyAlignment="1">
      <alignment horizontal="center"/>
    </xf>
    <xf numFmtId="0" fontId="2" fillId="4" borderId="6" xfId="5" applyFont="1" applyBorder="1" applyAlignment="1">
      <alignment horizontal="center"/>
    </xf>
    <xf numFmtId="0" fontId="2" fillId="4" borderId="8" xfId="5" applyFont="1" applyBorder="1" applyAlignment="1">
      <alignment horizontal="center"/>
    </xf>
    <xf numFmtId="0" fontId="2" fillId="13" borderId="6" xfId="0" applyFont="1" applyFill="1" applyBorder="1" applyAlignment="1">
      <alignment horizontal="center"/>
    </xf>
    <xf numFmtId="0" fontId="2" fillId="13" borderId="7" xfId="0" applyFont="1" applyFill="1" applyBorder="1" applyAlignment="1">
      <alignment horizontal="center"/>
    </xf>
    <xf numFmtId="0" fontId="2" fillId="13" borderId="8" xfId="0" applyFont="1" applyFill="1" applyBorder="1" applyAlignment="1">
      <alignment horizontal="center"/>
    </xf>
    <xf numFmtId="164" fontId="2" fillId="5" borderId="27" xfId="6" applyNumberFormat="1" applyFont="1" applyBorder="1" applyAlignment="1">
      <alignment horizontal="center"/>
    </xf>
    <xf numFmtId="164" fontId="2" fillId="5" borderId="13" xfId="6" applyNumberFormat="1" applyFont="1" applyBorder="1" applyAlignment="1">
      <alignment horizontal="center"/>
    </xf>
    <xf numFmtId="164" fontId="2" fillId="5" borderId="28" xfId="6" applyNumberFormat="1" applyFont="1" applyBorder="1" applyAlignment="1">
      <alignment horizontal="center"/>
    </xf>
    <xf numFmtId="0" fontId="0" fillId="0" borderId="30" xfId="0" applyBorder="1"/>
    <xf numFmtId="0" fontId="0" fillId="0" borderId="31" xfId="0" applyBorder="1"/>
    <xf numFmtId="0" fontId="2" fillId="0" borderId="0" xfId="0" applyFont="1"/>
    <xf numFmtId="0" fontId="10" fillId="0" borderId="0" xfId="0" applyFont="1"/>
    <xf numFmtId="0" fontId="0" fillId="0" borderId="0" xfId="0" quotePrefix="1"/>
    <xf numFmtId="0" fontId="0" fillId="0" borderId="0" xfId="0" applyFont="1"/>
    <xf numFmtId="164" fontId="0" fillId="6" borderId="24" xfId="1" applyNumberFormat="1" applyFont="1" applyFill="1" applyBorder="1" applyAlignment="1">
      <alignment horizontal="center"/>
    </xf>
    <xf numFmtId="0" fontId="0" fillId="6" borderId="0" xfId="0" applyFill="1" applyBorder="1"/>
    <xf numFmtId="0" fontId="0" fillId="6" borderId="0" xfId="0" applyFill="1" applyBorder="1" applyAlignment="1">
      <alignment horizontal="center"/>
    </xf>
    <xf numFmtId="0" fontId="0" fillId="6" borderId="0" xfId="0" applyFill="1" applyBorder="1" applyAlignment="1">
      <alignment horizontal="center" vertical="center"/>
    </xf>
    <xf numFmtId="164" fontId="0" fillId="6" borderId="0" xfId="1" applyNumberFormat="1" applyFont="1" applyFill="1" applyBorder="1" applyAlignment="1">
      <alignment horizontal="center"/>
    </xf>
    <xf numFmtId="164" fontId="0" fillId="6" borderId="0" xfId="0" applyNumberFormat="1" applyFill="1" applyBorder="1"/>
    <xf numFmtId="1" fontId="0" fillId="6" borderId="0" xfId="0" applyNumberFormat="1" applyFill="1" applyBorder="1"/>
    <xf numFmtId="0" fontId="0" fillId="6" borderId="23" xfId="0" applyNumberFormat="1" applyFill="1" applyBorder="1"/>
    <xf numFmtId="0" fontId="9" fillId="0" borderId="23" xfId="0" applyFont="1" applyBorder="1"/>
    <xf numFmtId="0" fontId="9" fillId="0" borderId="24" xfId="0" applyFont="1" applyBorder="1" applyAlignment="1">
      <alignment horizontal="right"/>
    </xf>
    <xf numFmtId="0" fontId="9" fillId="0" borderId="24" xfId="0" applyFont="1" applyBorder="1"/>
    <xf numFmtId="0" fontId="9" fillId="0" borderId="25" xfId="0" applyFont="1" applyBorder="1"/>
    <xf numFmtId="0" fontId="9" fillId="0" borderId="26" xfId="0" applyFont="1" applyBorder="1"/>
    <xf numFmtId="0" fontId="11" fillId="19" borderId="21" xfId="0" applyFont="1" applyFill="1" applyBorder="1"/>
    <xf numFmtId="0" fontId="11" fillId="19" borderId="22" xfId="0" applyFont="1" applyFill="1" applyBorder="1" applyAlignment="1">
      <alignment horizontal="right"/>
    </xf>
    <xf numFmtId="164" fontId="0" fillId="0" borderId="33" xfId="1" applyNumberFormat="1" applyFont="1" applyBorder="1"/>
    <xf numFmtId="0" fontId="11" fillId="19" borderId="32" xfId="0" applyFont="1" applyFill="1" applyBorder="1"/>
    <xf numFmtId="9" fontId="0" fillId="6" borderId="24" xfId="2" applyFont="1" applyFill="1" applyBorder="1"/>
    <xf numFmtId="2" fontId="0" fillId="6" borderId="24" xfId="0" applyNumberFormat="1" applyFill="1" applyBorder="1"/>
  </cellXfs>
  <cellStyles count="9">
    <cellStyle name="20% - Accent1" xfId="7" builtinId="30"/>
    <cellStyle name="20% - Accent2" xfId="6" builtinId="34"/>
    <cellStyle name="20% - Accent6" xfId="5" builtinId="50"/>
    <cellStyle name="40% - Accent1" xfId="3" builtinId="31"/>
    <cellStyle name="40% - Accent4" xfId="4" builtinId="43"/>
    <cellStyle name="40% - Accent5" xfId="8" builtinId="47"/>
    <cellStyle name="Currency" xfId="1" builtinId="4"/>
    <cellStyle name="Normal" xfId="0" builtinId="0"/>
    <cellStyle name="Per cent" xfId="2" builtinId="5"/>
  </cellStyles>
  <dxfs count="5">
    <dxf>
      <fill>
        <patternFill>
          <bgColor theme="9" tint="0.79998168889431442"/>
        </patternFill>
      </fill>
    </dxf>
    <dxf>
      <fill>
        <patternFill>
          <bgColor rgb="FFFFC7CE"/>
        </patternFill>
      </fill>
    </dxf>
    <dxf>
      <fill>
        <patternFill>
          <bgColor rgb="FF92D050"/>
        </patternFill>
      </fill>
    </dxf>
    <dxf>
      <fill>
        <patternFill>
          <bgColor theme="9" tint="0.39994506668294322"/>
        </patternFill>
      </fill>
    </dxf>
    <dxf>
      <fill>
        <patternFill>
          <bgColor rgb="FFF17373"/>
        </patternFill>
      </fill>
    </dxf>
  </dxfs>
  <tableStyles count="0" defaultTableStyle="TableStyleMedium2" defaultPivotStyle="PivotStyleLight16"/>
  <colors>
    <mruColors>
      <color rgb="FFAFFFE4"/>
      <color rgb="FF66FFCC"/>
      <color rgb="FFF17373"/>
      <color rgb="FFF0D1FF"/>
      <color rgb="FFE6B3FF"/>
      <color rgb="FFE2A7FF"/>
      <color rgb="FF1DA4FF"/>
      <color rgb="FFAFFDFF"/>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r>
              <a:rPr lang="fi-FI" b="1"/>
              <a:t>Cash Flows</a:t>
            </a:r>
          </a:p>
        </c:rich>
      </c:tx>
      <c:layout>
        <c:manualLayout>
          <c:xMode val="edge"/>
          <c:yMode val="edge"/>
          <c:x val="0.43846549634553472"/>
          <c:y val="3.690888119953864E-2"/>
        </c:manualLayout>
      </c:layout>
      <c:overlay val="0"/>
      <c:spPr>
        <a:solidFill>
          <a:sysClr val="window" lastClr="FFFFFF"/>
        </a:solidFill>
        <a:ln w="6350" cap="flat" cmpd="sng" algn="ctr">
          <a:solidFill>
            <a:schemeClr val="bg1"/>
          </a:solidFill>
          <a:prstDash val="solid"/>
          <a:miter lim="800000"/>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FI"/>
        </a:p>
      </c:txPr>
    </c:title>
    <c:autoTitleDeleted val="0"/>
    <c:plotArea>
      <c:layout/>
      <c:barChart>
        <c:barDir val="col"/>
        <c:grouping val="clustered"/>
        <c:varyColors val="0"/>
        <c:ser>
          <c:idx val="0"/>
          <c:order val="0"/>
          <c:tx>
            <c:strRef>
              <c:f>'Data &amp; Calculations'!$E$11</c:f>
              <c:strCache>
                <c:ptCount val="1"/>
                <c:pt idx="0">
                  <c:v>Free Cash Flow (FCF)</c:v>
                </c:pt>
              </c:strCache>
            </c:strRef>
          </c:tx>
          <c:spPr>
            <a:solidFill>
              <a:schemeClr val="accent1"/>
            </a:solidFill>
            <a:ln>
              <a:noFill/>
            </a:ln>
            <a:effectLst/>
          </c:spPr>
          <c:invertIfNegative val="0"/>
          <c:cat>
            <c:numRef>
              <c:f>'Data &amp; Calculations'!$F$3:$S$3</c:f>
              <c:numCache>
                <c:formatCode>General</c:formatCode>
                <c:ptCount val="14"/>
                <c:pt idx="0">
                  <c:v>0</c:v>
                </c:pt>
                <c:pt idx="1">
                  <c:v>1</c:v>
                </c:pt>
                <c:pt idx="2">
                  <c:v>2</c:v>
                </c:pt>
                <c:pt idx="3">
                  <c:v>3</c:v>
                </c:pt>
                <c:pt idx="4">
                  <c:v>4</c:v>
                </c:pt>
                <c:pt idx="5">
                  <c:v>5</c:v>
                </c:pt>
                <c:pt idx="6">
                  <c:v>6</c:v>
                </c:pt>
                <c:pt idx="7">
                  <c:v>7</c:v>
                </c:pt>
                <c:pt idx="8">
                  <c:v>8</c:v>
                </c:pt>
                <c:pt idx="9">
                  <c:v>9</c:v>
                </c:pt>
                <c:pt idx="10">
                  <c:v>10</c:v>
                </c:pt>
                <c:pt idx="11">
                  <c:v>11</c:v>
                </c:pt>
                <c:pt idx="12">
                  <c:v>12</c:v>
                </c:pt>
                <c:pt idx="13">
                  <c:v>13</c:v>
                </c:pt>
              </c:numCache>
            </c:numRef>
          </c:cat>
          <c:val>
            <c:numRef>
              <c:f>'Data &amp; Calculations'!$F$11:$S$11</c:f>
              <c:numCache>
                <c:formatCode>General</c:formatCode>
                <c:ptCount val="14"/>
                <c:pt idx="0">
                  <c:v>-5000000</c:v>
                </c:pt>
                <c:pt idx="1">
                  <c:v>-5000000</c:v>
                </c:pt>
                <c:pt idx="2">
                  <c:v>1403846.1538461538</c:v>
                </c:pt>
                <c:pt idx="3">
                  <c:v>1403846.1538461538</c:v>
                </c:pt>
                <c:pt idx="4">
                  <c:v>1403846.1538461538</c:v>
                </c:pt>
                <c:pt idx="5">
                  <c:v>2003846.1538461538</c:v>
                </c:pt>
                <c:pt idx="6">
                  <c:v>2003846.1538461538</c:v>
                </c:pt>
                <c:pt idx="7">
                  <c:v>1953846.1538461538</c:v>
                </c:pt>
                <c:pt idx="8">
                  <c:v>1953846.1538461538</c:v>
                </c:pt>
                <c:pt idx="9">
                  <c:v>1903846.1538461538</c:v>
                </c:pt>
                <c:pt idx="10">
                  <c:v>1903846.1538461538</c:v>
                </c:pt>
                <c:pt idx="11">
                  <c:v>1903846.1538461538</c:v>
                </c:pt>
                <c:pt idx="12">
                  <c:v>1903846.1538461538</c:v>
                </c:pt>
                <c:pt idx="13">
                  <c:v>2519230.769230769</c:v>
                </c:pt>
              </c:numCache>
            </c:numRef>
          </c:val>
          <c:extLst>
            <c:ext xmlns:c16="http://schemas.microsoft.com/office/drawing/2014/chart" uri="{C3380CC4-5D6E-409C-BE32-E72D297353CC}">
              <c16:uniqueId val="{00000000-ACB4-4A70-AF39-434C17E60893}"/>
            </c:ext>
          </c:extLst>
        </c:ser>
        <c:dLbls>
          <c:showLegendKey val="0"/>
          <c:showVal val="0"/>
          <c:showCatName val="0"/>
          <c:showSerName val="0"/>
          <c:showPercent val="0"/>
          <c:showBubbleSize val="0"/>
        </c:dLbls>
        <c:gapWidth val="219"/>
        <c:overlap val="-27"/>
        <c:axId val="602800416"/>
        <c:axId val="602809056"/>
        <c:extLst>
          <c:ext xmlns:c15="http://schemas.microsoft.com/office/drawing/2012/chart" uri="{02D57815-91ED-43cb-92C2-25804820EDAC}">
            <c15:filteredBarSeries>
              <c15:ser>
                <c:idx val="1"/>
                <c:order val="1"/>
                <c:tx>
                  <c:strRef>
                    <c:extLst>
                      <c:ext uri="{02D57815-91ED-43cb-92C2-25804820EDAC}">
                        <c15:formulaRef>
                          <c15:sqref>'Data &amp; Calculations'!$E$12</c15:sqref>
                        </c15:formulaRef>
                      </c:ext>
                    </c:extLst>
                    <c:strCache>
                      <c:ptCount val="1"/>
                      <c:pt idx="0">
                        <c:v>Discounted Cash Flow (DCF)</c:v>
                      </c:pt>
                    </c:strCache>
                  </c:strRef>
                </c:tx>
                <c:spPr>
                  <a:solidFill>
                    <a:schemeClr val="accent2"/>
                  </a:solidFill>
                  <a:ln>
                    <a:noFill/>
                  </a:ln>
                  <a:effectLst/>
                </c:spPr>
                <c:invertIfNegative val="0"/>
                <c:cat>
                  <c:numRef>
                    <c:extLst>
                      <c:ext uri="{02D57815-91ED-43cb-92C2-25804820EDAC}">
                        <c15:formulaRef>
                          <c15:sqref>'Data &amp; Calculations'!$F$3:$S$3</c15:sqref>
                        </c15:formulaRef>
                      </c:ext>
                    </c:extLst>
                    <c:numCache>
                      <c:formatCode>General</c:formatCode>
                      <c:ptCount val="14"/>
                      <c:pt idx="0">
                        <c:v>0</c:v>
                      </c:pt>
                      <c:pt idx="1">
                        <c:v>1</c:v>
                      </c:pt>
                      <c:pt idx="2">
                        <c:v>2</c:v>
                      </c:pt>
                      <c:pt idx="3">
                        <c:v>3</c:v>
                      </c:pt>
                      <c:pt idx="4">
                        <c:v>4</c:v>
                      </c:pt>
                      <c:pt idx="5">
                        <c:v>5</c:v>
                      </c:pt>
                      <c:pt idx="6">
                        <c:v>6</c:v>
                      </c:pt>
                      <c:pt idx="7">
                        <c:v>7</c:v>
                      </c:pt>
                      <c:pt idx="8">
                        <c:v>8</c:v>
                      </c:pt>
                      <c:pt idx="9">
                        <c:v>9</c:v>
                      </c:pt>
                      <c:pt idx="10">
                        <c:v>10</c:v>
                      </c:pt>
                      <c:pt idx="11">
                        <c:v>11</c:v>
                      </c:pt>
                      <c:pt idx="12">
                        <c:v>12</c:v>
                      </c:pt>
                      <c:pt idx="13">
                        <c:v>13</c:v>
                      </c:pt>
                    </c:numCache>
                  </c:numRef>
                </c:cat>
                <c:val>
                  <c:numRef>
                    <c:extLst>
                      <c:ext uri="{02D57815-91ED-43cb-92C2-25804820EDAC}">
                        <c15:formulaRef>
                          <c15:sqref>'Data &amp; Calculations'!$F$12:$S$12</c15:sqref>
                        </c15:formulaRef>
                      </c:ext>
                    </c:extLst>
                    <c:numCache>
                      <c:formatCode>General</c:formatCode>
                      <c:ptCount val="14"/>
                      <c:pt idx="0">
                        <c:v>-5000000</c:v>
                      </c:pt>
                      <c:pt idx="1">
                        <c:v>-4727272.7272727275</c:v>
                      </c:pt>
                      <c:pt idx="2">
                        <c:v>1254876.0330578513</c:v>
                      </c:pt>
                      <c:pt idx="3">
                        <c:v>1186428.2494365138</c:v>
                      </c:pt>
                      <c:pt idx="4">
                        <c:v>1121713.9812854314</c:v>
                      </c:pt>
                      <c:pt idx="5">
                        <c:v>1513797.0202234075</c:v>
                      </c:pt>
                      <c:pt idx="6">
                        <c:v>1431226.2736657672</c:v>
                      </c:pt>
                      <c:pt idx="7">
                        <c:v>1319395.3322336383</c:v>
                      </c:pt>
                      <c:pt idx="8">
                        <c:v>1247428.3141118034</c:v>
                      </c:pt>
                      <c:pt idx="9">
                        <c:v>1149205.6122132363</c:v>
                      </c:pt>
                      <c:pt idx="10">
                        <c:v>1086521.669728878</c:v>
                      </c:pt>
                      <c:pt idx="11">
                        <c:v>1027256.85138003</c:v>
                      </c:pt>
                      <c:pt idx="12">
                        <c:v>971224.65948657389</c:v>
                      </c:pt>
                      <c:pt idx="13">
                        <c:v>1215056.4518682354</c:v>
                      </c:pt>
                    </c:numCache>
                  </c:numRef>
                </c:val>
                <c:extLst>
                  <c:ext xmlns:c16="http://schemas.microsoft.com/office/drawing/2014/chart" uri="{C3380CC4-5D6E-409C-BE32-E72D297353CC}">
                    <c16:uniqueId val="{00000001-ACB4-4A70-AF39-434C17E60893}"/>
                  </c:ext>
                </c:extLst>
              </c15:ser>
            </c15:filteredBarSeries>
          </c:ext>
        </c:extLst>
      </c:barChart>
      <c:lineChart>
        <c:grouping val="standard"/>
        <c:varyColors val="0"/>
        <c:ser>
          <c:idx val="2"/>
          <c:order val="2"/>
          <c:tx>
            <c:strRef>
              <c:f>'Data &amp; Calculations'!$E$13</c:f>
              <c:strCache>
                <c:ptCount val="1"/>
                <c:pt idx="0">
                  <c:v>Cum DCF</c:v>
                </c:pt>
              </c:strCache>
            </c:strRef>
          </c:tx>
          <c:spPr>
            <a:ln w="28575" cap="rnd">
              <a:solidFill>
                <a:schemeClr val="accent2">
                  <a:lumMod val="75000"/>
                </a:schemeClr>
              </a:solidFill>
              <a:round/>
            </a:ln>
            <a:effectLst/>
          </c:spPr>
          <c:marker>
            <c:symbol val="none"/>
          </c:marker>
          <c:dLbls>
            <c:dLbl>
              <c:idx val="13"/>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B25-4CA7-85BC-977C62FB26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FI"/>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'Data &amp; Calculations'!$F$13:$S$13</c:f>
              <c:numCache>
                <c:formatCode>General</c:formatCode>
                <c:ptCount val="14"/>
                <c:pt idx="0">
                  <c:v>-5000000</c:v>
                </c:pt>
                <c:pt idx="1">
                  <c:v>-9727272.7272727266</c:v>
                </c:pt>
                <c:pt idx="2">
                  <c:v>-8472396.6942148749</c:v>
                </c:pt>
                <c:pt idx="3">
                  <c:v>-7285968.4447783614</c:v>
                </c:pt>
                <c:pt idx="4">
                  <c:v>-6164254.4634929299</c:v>
                </c:pt>
                <c:pt idx="5">
                  <c:v>-4650457.4432695229</c:v>
                </c:pt>
                <c:pt idx="6">
                  <c:v>-3219231.1696037557</c:v>
                </c:pt>
                <c:pt idx="7">
                  <c:v>-1899835.8373701174</c:v>
                </c:pt>
                <c:pt idx="8">
                  <c:v>-652407.523258314</c:v>
                </c:pt>
                <c:pt idx="9">
                  <c:v>496798.08895492228</c:v>
                </c:pt>
                <c:pt idx="10">
                  <c:v>1583319.7586838002</c:v>
                </c:pt>
                <c:pt idx="11">
                  <c:v>2610576.6100638304</c:v>
                </c:pt>
                <c:pt idx="12">
                  <c:v>3581801.2695504045</c:v>
                </c:pt>
                <c:pt idx="13">
                  <c:v>4796857.7214186396</c:v>
                </c:pt>
              </c:numCache>
            </c:numRef>
          </c:val>
          <c:smooth val="0"/>
          <c:extLst>
            <c:ext xmlns:c16="http://schemas.microsoft.com/office/drawing/2014/chart" uri="{C3380CC4-5D6E-409C-BE32-E72D297353CC}">
              <c16:uniqueId val="{00000002-ACB4-4A70-AF39-434C17E60893}"/>
            </c:ext>
          </c:extLst>
        </c:ser>
        <c:dLbls>
          <c:showLegendKey val="0"/>
          <c:showVal val="0"/>
          <c:showCatName val="0"/>
          <c:showSerName val="0"/>
          <c:showPercent val="0"/>
          <c:showBubbleSize val="0"/>
        </c:dLbls>
        <c:marker val="1"/>
        <c:smooth val="0"/>
        <c:axId val="602800416"/>
        <c:axId val="602809056"/>
      </c:lineChart>
      <c:catAx>
        <c:axId val="60280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FI"/>
          </a:p>
        </c:txPr>
        <c:crossAx val="602809056"/>
        <c:crosses val="autoZero"/>
        <c:auto val="1"/>
        <c:lblAlgn val="ctr"/>
        <c:lblOffset val="100"/>
        <c:noMultiLvlLbl val="0"/>
      </c:catAx>
      <c:valAx>
        <c:axId val="602809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FI"/>
          </a:p>
        </c:txPr>
        <c:crossAx val="60280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FI"/>
        </a:p>
      </c:txPr>
    </c:legend>
    <c:plotVisOnly val="1"/>
    <c:dispBlanksAs val="gap"/>
    <c:showDLblsOverMax val="0"/>
  </c:chart>
  <c:spPr>
    <a:solidFill>
      <a:schemeClr val="lt1"/>
    </a:solidFill>
    <a:ln w="19050" cap="flat" cmpd="sng" algn="ctr">
      <a:solidFill>
        <a:schemeClr val="tx1"/>
      </a:solidFill>
      <a:prstDash val="solid"/>
      <a:miter lim="800000"/>
    </a:ln>
    <a:effectLst/>
  </c:spPr>
  <c:txPr>
    <a:bodyPr/>
    <a:lstStyle/>
    <a:p>
      <a:pPr>
        <a:defRPr>
          <a:solidFill>
            <a:schemeClr val="dk1"/>
          </a:solidFill>
          <a:latin typeface="+mn-lt"/>
          <a:ea typeface="+mn-ea"/>
          <a:cs typeface="+mn-cs"/>
        </a:defRPr>
      </a:pPr>
      <a:endParaRPr lang="en-FI"/>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sensitivity!$C$1</c:f>
          <c:strCache>
            <c:ptCount val="1"/>
            <c:pt idx="0">
              <c:v>NPV</c:v>
            </c:pt>
          </c:strCache>
        </c:strRef>
      </c:tx>
      <c:layout>
        <c:manualLayout>
          <c:xMode val="edge"/>
          <c:yMode val="edge"/>
          <c:x val="0.39719517848864161"/>
          <c:y val="2.773307050511396E-2"/>
        </c:manualLayout>
      </c:layout>
      <c:overlay val="0"/>
      <c:txPr>
        <a:bodyPr/>
        <a:lstStyle/>
        <a:p>
          <a:pPr>
            <a:defRPr sz="1200"/>
          </a:pPr>
          <a:endParaRPr lang="en-FI"/>
        </a:p>
      </c:txPr>
    </c:title>
    <c:autoTitleDeleted val="0"/>
    <c:plotArea>
      <c:layout>
        <c:manualLayout>
          <c:layoutTarget val="inner"/>
          <c:xMode val="edge"/>
          <c:yMode val="edge"/>
          <c:x val="7.2289816345974839E-2"/>
          <c:y val="0.1162153689122193"/>
          <c:w val="0.91787478234205422"/>
          <c:h val="0.77219889180519097"/>
        </c:manualLayout>
      </c:layout>
      <c:lineChart>
        <c:grouping val="standard"/>
        <c:varyColors val="0"/>
        <c:ser>
          <c:idx val="1"/>
          <c:order val="0"/>
          <c:tx>
            <c:strRef>
              <c:f>sensitivity!$A$3</c:f>
              <c:strCache>
                <c:ptCount val="1"/>
                <c:pt idx="0">
                  <c:v>Investment</c:v>
                </c:pt>
              </c:strCache>
            </c:strRef>
          </c:tx>
          <c:spPr>
            <a:ln w="25400">
              <a:solidFill>
                <a:srgbClr val="00B050"/>
              </a:solidFill>
            </a:ln>
          </c:spPr>
          <c:marker>
            <c:symbol val="circle"/>
            <c:size val="5"/>
            <c:spPr>
              <a:solidFill>
                <a:srgbClr val="00B050"/>
              </a:solidFill>
              <a:ln>
                <a:solidFill>
                  <a:srgbClr val="007635"/>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sensitivity!$C$3:$M$3</c:f>
              <c:numCache>
                <c:formatCode>0.0</c:formatCode>
                <c:ptCount val="11"/>
                <c:pt idx="0">
                  <c:v>8712498.8279852439</c:v>
                </c:pt>
                <c:pt idx="1">
                  <c:v>7739771.5552579723</c:v>
                </c:pt>
                <c:pt idx="2">
                  <c:v>6767044.2825306989</c:v>
                </c:pt>
                <c:pt idx="3">
                  <c:v>5794317.0098034274</c:v>
                </c:pt>
                <c:pt idx="4">
                  <c:v>4821589.7370761558</c:v>
                </c:pt>
                <c:pt idx="5">
                  <c:v>4796857.7214186396</c:v>
                </c:pt>
                <c:pt idx="6">
                  <c:v>2876135.191621609</c:v>
                </c:pt>
                <c:pt idx="7">
                  <c:v>1903407.9188943356</c:v>
                </c:pt>
                <c:pt idx="8">
                  <c:v>930680.64616706141</c:v>
                </c:pt>
                <c:pt idx="9">
                  <c:v>-42046.626560213743</c:v>
                </c:pt>
                <c:pt idx="10">
                  <c:v>-1014773.8992874853</c:v>
                </c:pt>
              </c:numCache>
            </c:numRef>
          </c:val>
          <c:smooth val="0"/>
          <c:extLst>
            <c:ext xmlns:c16="http://schemas.microsoft.com/office/drawing/2014/chart" uri="{C3380CC4-5D6E-409C-BE32-E72D297353CC}">
              <c16:uniqueId val="{00000000-E5FB-4318-9B71-78CDD3839E61}"/>
            </c:ext>
          </c:extLst>
        </c:ser>
        <c:ser>
          <c:idx val="3"/>
          <c:order val="1"/>
          <c:tx>
            <c:strRef>
              <c:f>sensitivity!$A$4</c:f>
              <c:strCache>
                <c:ptCount val="1"/>
                <c:pt idx="0">
                  <c:v>Bottles first 3 years</c:v>
                </c:pt>
              </c:strCache>
            </c:strRef>
          </c:tx>
          <c:spPr>
            <a:ln w="25400">
              <a:solidFill>
                <a:srgbClr val="92D050"/>
              </a:solidFill>
            </a:ln>
          </c:spPr>
          <c:marker>
            <c:symbol val="circle"/>
            <c:size val="5"/>
            <c:spPr>
              <a:solidFill>
                <a:srgbClr val="92D050"/>
              </a:solidFill>
              <a:ln>
                <a:solidFill>
                  <a:srgbClr val="00B050"/>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sensitivity!$C$4:$M$4</c:f>
              <c:numCache>
                <c:formatCode>0.0</c:formatCode>
                <c:ptCount val="11"/>
                <c:pt idx="0">
                  <c:v>4468144.3236754285</c:v>
                </c:pt>
                <c:pt idx="1">
                  <c:v>4344287.9518101187</c:v>
                </c:pt>
                <c:pt idx="2">
                  <c:v>4220431.579944809</c:v>
                </c:pt>
                <c:pt idx="3">
                  <c:v>4096575.2080795001</c:v>
                </c:pt>
                <c:pt idx="4">
                  <c:v>3972718.8362141894</c:v>
                </c:pt>
                <c:pt idx="5">
                  <c:v>4796857.7214186396</c:v>
                </c:pt>
                <c:pt idx="6">
                  <c:v>3725006.0924835699</c:v>
                </c:pt>
                <c:pt idx="7">
                  <c:v>3601149.7206182592</c:v>
                </c:pt>
                <c:pt idx="8">
                  <c:v>3477293.3487529494</c:v>
                </c:pt>
                <c:pt idx="9">
                  <c:v>3353436.9768876396</c:v>
                </c:pt>
                <c:pt idx="10">
                  <c:v>3229580.6050223308</c:v>
                </c:pt>
              </c:numCache>
            </c:numRef>
          </c:val>
          <c:smooth val="0"/>
          <c:extLst>
            <c:ext xmlns:c16="http://schemas.microsoft.com/office/drawing/2014/chart" uri="{C3380CC4-5D6E-409C-BE32-E72D297353CC}">
              <c16:uniqueId val="{00000001-E5FB-4318-9B71-78CDD3839E61}"/>
            </c:ext>
          </c:extLst>
        </c:ser>
        <c:ser>
          <c:idx val="4"/>
          <c:order val="2"/>
          <c:tx>
            <c:strRef>
              <c:f>sensitivity!$A$5</c:f>
              <c:strCache>
                <c:ptCount val="1"/>
                <c:pt idx="0">
                  <c:v>Bottles after 3 years</c:v>
                </c:pt>
              </c:strCache>
            </c:strRef>
          </c:tx>
          <c:spPr>
            <a:ln w="25400">
              <a:solidFill>
                <a:srgbClr val="FFC000"/>
              </a:solidFill>
            </a:ln>
          </c:spPr>
          <c:marker>
            <c:symbol val="circle"/>
            <c:size val="5"/>
            <c:spPr>
              <a:solidFill>
                <a:srgbClr val="FFC000"/>
              </a:solidFill>
              <a:ln>
                <a:solidFill>
                  <a:schemeClr val="accent6"/>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sensitivity!$C$5:$M$5</c:f>
              <c:numCache>
                <c:formatCode>0.0</c:formatCode>
                <c:ptCount val="11"/>
                <c:pt idx="0">
                  <c:v>5858112.9087157585</c:v>
                </c:pt>
                <c:pt idx="1">
                  <c:v>5456262.8198423833</c:v>
                </c:pt>
                <c:pt idx="2">
                  <c:v>5054412.730969009</c:v>
                </c:pt>
                <c:pt idx="3">
                  <c:v>4652562.6420956338</c:v>
                </c:pt>
                <c:pt idx="4">
                  <c:v>4250712.5532222576</c:v>
                </c:pt>
                <c:pt idx="5">
                  <c:v>4796857.7214186396</c:v>
                </c:pt>
                <c:pt idx="6">
                  <c:v>3447012.3754755063</c:v>
                </c:pt>
                <c:pt idx="7">
                  <c:v>3045162.2866021283</c:v>
                </c:pt>
                <c:pt idx="8">
                  <c:v>2643312.1977287531</c:v>
                </c:pt>
                <c:pt idx="9">
                  <c:v>2241462.1088553756</c:v>
                </c:pt>
                <c:pt idx="10">
                  <c:v>1839612.0199819992</c:v>
                </c:pt>
              </c:numCache>
            </c:numRef>
          </c:val>
          <c:smooth val="0"/>
          <c:extLst>
            <c:ext xmlns:c16="http://schemas.microsoft.com/office/drawing/2014/chart" uri="{C3380CC4-5D6E-409C-BE32-E72D297353CC}">
              <c16:uniqueId val="{00000002-E5FB-4318-9B71-78CDD3839E61}"/>
            </c:ext>
          </c:extLst>
        </c:ser>
        <c:ser>
          <c:idx val="5"/>
          <c:order val="3"/>
          <c:tx>
            <c:strRef>
              <c:f>sensitivity!$A$6</c:f>
              <c:strCache>
                <c:ptCount val="1"/>
                <c:pt idx="0">
                  <c:v>Price</c:v>
                </c:pt>
              </c:strCache>
            </c:strRef>
          </c:tx>
          <c:spPr>
            <a:ln w="25400">
              <a:solidFill>
                <a:srgbClr val="FF0000"/>
              </a:solidFill>
            </a:ln>
          </c:spPr>
          <c:marker>
            <c:symbol val="circle"/>
            <c:size val="5"/>
            <c:spPr>
              <a:solidFill>
                <a:srgbClr val="FF0000"/>
              </a:solidFill>
              <a:ln>
                <a:solidFill>
                  <a:srgbClr val="C00000"/>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sensitivity!$C$6:$M$6</c:f>
              <c:numCache>
                <c:formatCode>0.0</c:formatCode>
                <c:ptCount val="11"/>
                <c:pt idx="0">
                  <c:v>-4769276.2362853158</c:v>
                </c:pt>
                <c:pt idx="1">
                  <c:v>-3045648.4961584779</c:v>
                </c:pt>
                <c:pt idx="2">
                  <c:v>-1322020.7560316396</c:v>
                </c:pt>
                <c:pt idx="3">
                  <c:v>401606.98409519962</c:v>
                </c:pt>
                <c:pt idx="4">
                  <c:v>2125234.7242220361</c:v>
                </c:pt>
                <c:pt idx="5">
                  <c:v>4796857.7214186396</c:v>
                </c:pt>
                <c:pt idx="6">
                  <c:v>5572490.2044757111</c:v>
                </c:pt>
                <c:pt idx="7">
                  <c:v>7296117.94460255</c:v>
                </c:pt>
                <c:pt idx="8">
                  <c:v>9019745.6847293917</c:v>
                </c:pt>
                <c:pt idx="9">
                  <c:v>10743373.424856232</c:v>
                </c:pt>
                <c:pt idx="10">
                  <c:v>12467001.164983071</c:v>
                </c:pt>
              </c:numCache>
            </c:numRef>
          </c:val>
          <c:smooth val="0"/>
          <c:extLst>
            <c:ext xmlns:c16="http://schemas.microsoft.com/office/drawing/2014/chart" uri="{C3380CC4-5D6E-409C-BE32-E72D297353CC}">
              <c16:uniqueId val="{00000003-E5FB-4318-9B71-78CDD3839E61}"/>
            </c:ext>
          </c:extLst>
        </c:ser>
        <c:ser>
          <c:idx val="6"/>
          <c:order val="4"/>
          <c:tx>
            <c:strRef>
              <c:f>sensitivity!$A$7</c:f>
              <c:strCache>
                <c:ptCount val="1"/>
                <c:pt idx="0">
                  <c:v>Cost per botle</c:v>
                </c:pt>
              </c:strCache>
            </c:strRef>
          </c:tx>
          <c:spPr>
            <a:ln w="25400">
              <a:solidFill>
                <a:srgbClr val="0070C0"/>
              </a:solidFill>
            </a:ln>
          </c:spPr>
          <c:marker>
            <c:symbol val="circle"/>
            <c:size val="5"/>
            <c:spPr>
              <a:solidFill>
                <a:srgbClr val="0070C0"/>
              </a:solidFill>
              <a:ln>
                <a:solidFill>
                  <a:srgbClr val="002060"/>
                </a:solidFill>
              </a:ln>
            </c:spPr>
          </c:marker>
          <c:dPt>
            <c:idx val="5"/>
            <c:marker>
              <c:spPr>
                <a:solidFill>
                  <a:schemeClr val="tx1">
                    <a:lumMod val="50000"/>
                    <a:lumOff val="50000"/>
                  </a:schemeClr>
                </a:solidFill>
                <a:ln>
                  <a:solidFill>
                    <a:schemeClr val="tx1"/>
                  </a:solidFill>
                </a:ln>
              </c:spPr>
            </c:marker>
            <c:bubble3D val="0"/>
            <c:extLst>
              <c:ext xmlns:c16="http://schemas.microsoft.com/office/drawing/2014/chart" uri="{C3380CC4-5D6E-409C-BE32-E72D297353CC}">
                <c16:uniqueId val="{00000004-E5FB-4318-9B71-78CDD3839E61}"/>
              </c:ext>
            </c:extLst>
          </c:dPt>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5FB-4318-9B71-78CDD3839E61}"/>
                </c:ext>
              </c:extLst>
            </c:dLbl>
            <c:numFmt formatCode="#,##0.0" sourceLinked="0"/>
            <c:spPr>
              <a:noFill/>
              <a:ln>
                <a:noFill/>
              </a:ln>
              <a:effectLst/>
            </c:spPr>
            <c:txPr>
              <a:bodyPr/>
              <a:lstStyle/>
              <a:p>
                <a:pPr>
                  <a:defRPr b="1"/>
                </a:pPr>
                <a:endParaRPr lang="en-FI"/>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sensitivity!$C$7:$M$7</c:f>
              <c:numCache>
                <c:formatCode>0.0</c:formatCode>
                <c:ptCount val="11"/>
                <c:pt idx="0">
                  <c:v>6477394.7680423073</c:v>
                </c:pt>
                <c:pt idx="1">
                  <c:v>5951688.3073036242</c:v>
                </c:pt>
                <c:pt idx="2">
                  <c:v>5425981.8465649374</c:v>
                </c:pt>
                <c:pt idx="3">
                  <c:v>4900275.3858262505</c:v>
                </c:pt>
                <c:pt idx="4">
                  <c:v>4374568.9250875656</c:v>
                </c:pt>
                <c:pt idx="5">
                  <c:v>4796857.7214186396</c:v>
                </c:pt>
                <c:pt idx="6">
                  <c:v>3323156.0036101951</c:v>
                </c:pt>
                <c:pt idx="7">
                  <c:v>2797449.5428715087</c:v>
                </c:pt>
                <c:pt idx="8">
                  <c:v>2271743.0821328224</c:v>
                </c:pt>
                <c:pt idx="9">
                  <c:v>1746036.6213941358</c:v>
                </c:pt>
                <c:pt idx="10">
                  <c:v>1220330.1606554524</c:v>
                </c:pt>
              </c:numCache>
            </c:numRef>
          </c:val>
          <c:smooth val="0"/>
          <c:extLst>
            <c:ext xmlns:c16="http://schemas.microsoft.com/office/drawing/2014/chart" uri="{C3380CC4-5D6E-409C-BE32-E72D297353CC}">
              <c16:uniqueId val="{00000005-E5FB-4318-9B71-78CDD3839E61}"/>
            </c:ext>
          </c:extLst>
        </c:ser>
        <c:dLbls>
          <c:showLegendKey val="0"/>
          <c:showVal val="0"/>
          <c:showCatName val="0"/>
          <c:showSerName val="0"/>
          <c:showPercent val="0"/>
          <c:showBubbleSize val="0"/>
        </c:dLbls>
        <c:marker val="1"/>
        <c:smooth val="0"/>
        <c:axId val="267769344"/>
        <c:axId val="267770520"/>
      </c:lineChart>
      <c:catAx>
        <c:axId val="267769344"/>
        <c:scaling>
          <c:orientation val="minMax"/>
        </c:scaling>
        <c:delete val="0"/>
        <c:axPos val="b"/>
        <c:numFmt formatCode="0%" sourceLinked="1"/>
        <c:majorTickMark val="out"/>
        <c:minorTickMark val="none"/>
        <c:tickLblPos val="nextTo"/>
        <c:crossAx val="267770520"/>
        <c:crossesAt val="-100000000"/>
        <c:auto val="1"/>
        <c:lblAlgn val="ctr"/>
        <c:lblOffset val="100"/>
        <c:noMultiLvlLbl val="0"/>
      </c:catAx>
      <c:valAx>
        <c:axId val="267770520"/>
        <c:scaling>
          <c:orientation val="minMax"/>
        </c:scaling>
        <c:delete val="0"/>
        <c:axPos val="l"/>
        <c:majorGridlines/>
        <c:numFmt formatCode="0" sourceLinked="0"/>
        <c:majorTickMark val="out"/>
        <c:minorTickMark val="none"/>
        <c:tickLblPos val="nextTo"/>
        <c:crossAx val="267769344"/>
        <c:crosses val="autoZero"/>
        <c:crossBetween val="between"/>
      </c:valAx>
    </c:plotArea>
    <c:legend>
      <c:legendPos val="r"/>
      <c:layout>
        <c:manualLayout>
          <c:xMode val="edge"/>
          <c:yMode val="edge"/>
          <c:x val="0.41036015317278662"/>
          <c:y val="0.59570015921324826"/>
          <c:w val="0.44269928706755884"/>
          <c:h val="0.28406315097820478"/>
        </c:manualLayout>
      </c:layout>
      <c:overlay val="0"/>
      <c:spPr>
        <a:solidFill>
          <a:schemeClr val="bg1">
            <a:alpha val="50000"/>
          </a:schemeClr>
        </a:solidFill>
      </c:spPr>
      <c:txPr>
        <a:bodyPr/>
        <a:lstStyle/>
        <a:p>
          <a:pPr>
            <a:defRPr sz="900"/>
          </a:pPr>
          <a:endParaRPr lang="en-FI"/>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sensitivity!$O$1</c:f>
          <c:strCache>
            <c:ptCount val="1"/>
            <c:pt idx="0">
              <c:v>IRR</c:v>
            </c:pt>
          </c:strCache>
        </c:strRef>
      </c:tx>
      <c:layout>
        <c:manualLayout>
          <c:xMode val="edge"/>
          <c:yMode val="edge"/>
          <c:x val="0.41489911987705291"/>
          <c:y val="2.7777777777777776E-2"/>
        </c:manualLayout>
      </c:layout>
      <c:overlay val="0"/>
      <c:txPr>
        <a:bodyPr/>
        <a:lstStyle/>
        <a:p>
          <a:pPr>
            <a:defRPr sz="1200"/>
          </a:pPr>
          <a:endParaRPr lang="en-FI"/>
        </a:p>
      </c:txPr>
    </c:title>
    <c:autoTitleDeleted val="0"/>
    <c:plotArea>
      <c:layout>
        <c:manualLayout>
          <c:layoutTarget val="inner"/>
          <c:xMode val="edge"/>
          <c:yMode val="edge"/>
          <c:x val="5.8381610504528378E-2"/>
          <c:y val="0.13936351706036745"/>
          <c:w val="0.93641905679731618"/>
          <c:h val="0.74905074365704283"/>
        </c:manualLayout>
      </c:layout>
      <c:lineChart>
        <c:grouping val="standard"/>
        <c:varyColors val="0"/>
        <c:ser>
          <c:idx val="1"/>
          <c:order val="0"/>
          <c:tx>
            <c:strRef>
              <c:f>sensitivity!$A$3</c:f>
              <c:strCache>
                <c:ptCount val="1"/>
                <c:pt idx="0">
                  <c:v>Investment</c:v>
                </c:pt>
              </c:strCache>
            </c:strRef>
          </c:tx>
          <c:spPr>
            <a:ln w="25400">
              <a:solidFill>
                <a:srgbClr val="00B050"/>
              </a:solidFill>
            </a:ln>
          </c:spPr>
          <c:marker>
            <c:symbol val="circle"/>
            <c:size val="5"/>
            <c:spPr>
              <a:solidFill>
                <a:srgbClr val="00B050"/>
              </a:solidFill>
              <a:ln>
                <a:solidFill>
                  <a:srgbClr val="007635"/>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sensitivity!$O$3:$Y$3</c:f>
              <c:numCache>
                <c:formatCode>0.0%</c:formatCode>
                <c:ptCount val="11"/>
                <c:pt idx="0">
                  <c:v>0.25973794787301085</c:v>
                </c:pt>
                <c:pt idx="1">
                  <c:v>0.21612288322727591</c:v>
                </c:pt>
                <c:pt idx="2">
                  <c:v>0.18233810948897289</c:v>
                </c:pt>
                <c:pt idx="3">
                  <c:v>0.15508734629902698</c:v>
                </c:pt>
                <c:pt idx="4">
                  <c:v>0.13244228280550607</c:v>
                </c:pt>
                <c:pt idx="5">
                  <c:v>0.12540521045215058</c:v>
                </c:pt>
                <c:pt idx="6">
                  <c:v>9.6527285945511077E-2</c:v>
                </c:pt>
                <c:pt idx="7">
                  <c:v>8.1893365771204429E-2</c:v>
                </c:pt>
                <c:pt idx="8">
                  <c:v>6.88873121152489E-2</c:v>
                </c:pt>
                <c:pt idx="9">
                  <c:v>5.7211904693033944E-2</c:v>
                </c:pt>
                <c:pt idx="10">
                  <c:v>4.664171799605521E-2</c:v>
                </c:pt>
              </c:numCache>
            </c:numRef>
          </c:val>
          <c:smooth val="0"/>
          <c:extLst>
            <c:ext xmlns:c16="http://schemas.microsoft.com/office/drawing/2014/chart" uri="{C3380CC4-5D6E-409C-BE32-E72D297353CC}">
              <c16:uniqueId val="{00000000-D813-4D47-A82E-91C8149E184D}"/>
            </c:ext>
          </c:extLst>
        </c:ser>
        <c:ser>
          <c:idx val="3"/>
          <c:order val="1"/>
          <c:tx>
            <c:strRef>
              <c:f>sensitivity!$A$4</c:f>
              <c:strCache>
                <c:ptCount val="1"/>
                <c:pt idx="0">
                  <c:v>Bottles first 3 years</c:v>
                </c:pt>
              </c:strCache>
            </c:strRef>
          </c:tx>
          <c:spPr>
            <a:ln w="25400">
              <a:solidFill>
                <a:srgbClr val="92D050"/>
              </a:solidFill>
            </a:ln>
          </c:spPr>
          <c:marker>
            <c:symbol val="circle"/>
            <c:size val="5"/>
            <c:spPr>
              <a:solidFill>
                <a:srgbClr val="92D050"/>
              </a:solidFill>
              <a:ln>
                <a:solidFill>
                  <a:srgbClr val="00B050"/>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sensitivity!$O$4:$Y$4</c:f>
              <c:numCache>
                <c:formatCode>0.0%</c:formatCode>
                <c:ptCount val="11"/>
                <c:pt idx="0">
                  <c:v>0.12339101408465947</c:v>
                </c:pt>
                <c:pt idx="1">
                  <c:v>0.12132140146865433</c:v>
                </c:pt>
                <c:pt idx="2">
                  <c:v>0.11926659742977419</c:v>
                </c:pt>
                <c:pt idx="3">
                  <c:v>0.11722656810269494</c:v>
                </c:pt>
                <c:pt idx="4">
                  <c:v>0.11520127627609722</c:v>
                </c:pt>
                <c:pt idx="5">
                  <c:v>0.12540521045215058</c:v>
                </c:pt>
                <c:pt idx="6">
                  <c:v>0.11119474010934449</c:v>
                </c:pt>
                <c:pt idx="7">
                  <c:v>0.10921340546063441</c:v>
                </c:pt>
                <c:pt idx="8">
                  <c:v>0.1072466278864177</c:v>
                </c:pt>
                <c:pt idx="9">
                  <c:v>0.10529435486243899</c:v>
                </c:pt>
                <c:pt idx="10">
                  <c:v>0.1033565310902631</c:v>
                </c:pt>
              </c:numCache>
            </c:numRef>
          </c:val>
          <c:smooth val="0"/>
          <c:extLst>
            <c:ext xmlns:c16="http://schemas.microsoft.com/office/drawing/2014/chart" uri="{C3380CC4-5D6E-409C-BE32-E72D297353CC}">
              <c16:uniqueId val="{00000001-D813-4D47-A82E-91C8149E184D}"/>
            </c:ext>
          </c:extLst>
        </c:ser>
        <c:ser>
          <c:idx val="4"/>
          <c:order val="2"/>
          <c:tx>
            <c:strRef>
              <c:f>sensitivity!$A$5</c:f>
              <c:strCache>
                <c:ptCount val="1"/>
                <c:pt idx="0">
                  <c:v>Bottles after 3 years</c:v>
                </c:pt>
              </c:strCache>
            </c:strRef>
          </c:tx>
          <c:spPr>
            <a:ln w="25400">
              <a:solidFill>
                <a:srgbClr val="FFC000"/>
              </a:solidFill>
            </a:ln>
          </c:spPr>
          <c:marker>
            <c:symbol val="circle"/>
            <c:size val="5"/>
            <c:spPr>
              <a:solidFill>
                <a:srgbClr val="FFC000"/>
              </a:solidFill>
              <a:ln>
                <a:solidFill>
                  <a:schemeClr val="accent6"/>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sensitivity!$O$5:$Y$5</c:f>
              <c:numCache>
                <c:formatCode>0.0%</c:formatCode>
                <c:ptCount val="11"/>
                <c:pt idx="0">
                  <c:v>0.1360820091636552</c:v>
                </c:pt>
                <c:pt idx="1">
                  <c:v>0.13174192482222447</c:v>
                </c:pt>
                <c:pt idx="2">
                  <c:v>0.12729003139938611</c:v>
                </c:pt>
                <c:pt idx="3">
                  <c:v>0.12271940386155245</c:v>
                </c:pt>
                <c:pt idx="4">
                  <c:v>0.1180224237324341</c:v>
                </c:pt>
                <c:pt idx="5">
                  <c:v>0.12540521045215058</c:v>
                </c:pt>
                <c:pt idx="6">
                  <c:v>0.10821486095801669</c:v>
                </c:pt>
                <c:pt idx="7">
                  <c:v>0.10308460162749777</c:v>
                </c:pt>
                <c:pt idx="8">
                  <c:v>9.7788333443742603E-2</c:v>
                </c:pt>
                <c:pt idx="9">
                  <c:v>9.2313077325123061E-2</c:v>
                </c:pt>
                <c:pt idx="10">
                  <c:v>8.6644202341469523E-2</c:v>
                </c:pt>
              </c:numCache>
            </c:numRef>
          </c:val>
          <c:smooth val="0"/>
          <c:extLst>
            <c:ext xmlns:c16="http://schemas.microsoft.com/office/drawing/2014/chart" uri="{C3380CC4-5D6E-409C-BE32-E72D297353CC}">
              <c16:uniqueId val="{00000002-D813-4D47-A82E-91C8149E184D}"/>
            </c:ext>
          </c:extLst>
        </c:ser>
        <c:ser>
          <c:idx val="5"/>
          <c:order val="3"/>
          <c:tx>
            <c:strRef>
              <c:f>sensitivity!$A$6</c:f>
              <c:strCache>
                <c:ptCount val="1"/>
                <c:pt idx="0">
                  <c:v>Price</c:v>
                </c:pt>
              </c:strCache>
            </c:strRef>
          </c:tx>
          <c:spPr>
            <a:ln w="25400">
              <a:solidFill>
                <a:srgbClr val="FF0000"/>
              </a:solidFill>
            </a:ln>
          </c:spPr>
          <c:marker>
            <c:symbol val="circle"/>
            <c:size val="5"/>
            <c:spPr>
              <a:solidFill>
                <a:srgbClr val="FF0000"/>
              </a:solidFill>
              <a:ln>
                <a:solidFill>
                  <a:srgbClr val="C00000"/>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sensitivity!$O$6:$Y$6</c:f>
              <c:numCache>
                <c:formatCode>0.0%</c:formatCode>
                <c:ptCount val="11"/>
                <c:pt idx="0">
                  <c:v>-3.4814508886920281E-2</c:v>
                </c:pt>
                <c:pt idx="1">
                  <c:v>3.3136141485945458E-3</c:v>
                </c:pt>
                <c:pt idx="2">
                  <c:v>3.5615614176365051E-2</c:v>
                </c:pt>
                <c:pt idx="3">
                  <c:v>6.4032891274407033E-2</c:v>
                </c:pt>
                <c:pt idx="4">
                  <c:v>8.9663484938351079E-2</c:v>
                </c:pt>
                <c:pt idx="5">
                  <c:v>0.12540521045215058</c:v>
                </c:pt>
                <c:pt idx="6">
                  <c:v>0.13506952751908519</c:v>
                </c:pt>
                <c:pt idx="7">
                  <c:v>0.15561884005796101</c:v>
                </c:pt>
                <c:pt idx="8">
                  <c:v>0.17507096200413907</c:v>
                </c:pt>
                <c:pt idx="9">
                  <c:v>0.19360062853931637</c:v>
                </c:pt>
                <c:pt idx="10">
                  <c:v>0.2113426736213917</c:v>
                </c:pt>
              </c:numCache>
            </c:numRef>
          </c:val>
          <c:smooth val="0"/>
          <c:extLst>
            <c:ext xmlns:c16="http://schemas.microsoft.com/office/drawing/2014/chart" uri="{C3380CC4-5D6E-409C-BE32-E72D297353CC}">
              <c16:uniqueId val="{00000003-D813-4D47-A82E-91C8149E184D}"/>
            </c:ext>
          </c:extLst>
        </c:ser>
        <c:ser>
          <c:idx val="6"/>
          <c:order val="4"/>
          <c:tx>
            <c:strRef>
              <c:f>sensitivity!$A$7</c:f>
              <c:strCache>
                <c:ptCount val="1"/>
                <c:pt idx="0">
                  <c:v>Cost per botle</c:v>
                </c:pt>
              </c:strCache>
            </c:strRef>
          </c:tx>
          <c:spPr>
            <a:ln w="25400">
              <a:solidFill>
                <a:srgbClr val="0070C0"/>
              </a:solidFill>
            </a:ln>
          </c:spPr>
          <c:marker>
            <c:symbol val="circle"/>
            <c:size val="5"/>
            <c:spPr>
              <a:solidFill>
                <a:srgbClr val="0070C0"/>
              </a:solidFill>
              <a:ln>
                <a:solidFill>
                  <a:srgbClr val="002060"/>
                </a:solidFill>
              </a:ln>
            </c:spPr>
          </c:marker>
          <c:dPt>
            <c:idx val="5"/>
            <c:marker>
              <c:spPr>
                <a:solidFill>
                  <a:schemeClr val="tx1">
                    <a:lumMod val="50000"/>
                    <a:lumOff val="50000"/>
                  </a:schemeClr>
                </a:solidFill>
                <a:ln>
                  <a:solidFill>
                    <a:schemeClr val="tx1"/>
                  </a:solidFill>
                </a:ln>
              </c:spPr>
            </c:marker>
            <c:bubble3D val="0"/>
            <c:extLst>
              <c:ext xmlns:c16="http://schemas.microsoft.com/office/drawing/2014/chart" uri="{C3380CC4-5D6E-409C-BE32-E72D297353CC}">
                <c16:uniqueId val="{00000004-D813-4D47-A82E-91C8149E184D}"/>
              </c:ext>
            </c:extLst>
          </c:dPt>
          <c:dLbls>
            <c:dLbl>
              <c:idx val="5"/>
              <c:layout>
                <c:manualLayout>
                  <c:x val="-4.655781031543519E-2"/>
                  <c:y val="-6.528944298629338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813-4D47-A82E-91C8149E184D}"/>
                </c:ext>
              </c:extLst>
            </c:dLbl>
            <c:numFmt formatCode="0.0%" sourceLinked="0"/>
            <c:spPr>
              <a:noFill/>
              <a:ln>
                <a:noFill/>
              </a:ln>
              <a:effectLst/>
            </c:spPr>
            <c:txPr>
              <a:bodyPr/>
              <a:lstStyle/>
              <a:p>
                <a:pPr>
                  <a:defRPr b="1"/>
                </a:pPr>
                <a:endParaRPr lang="en-FI"/>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sensitivity!$O$7:$Y$7</c:f>
              <c:numCache>
                <c:formatCode>0.0%</c:formatCode>
                <c:ptCount val="11"/>
                <c:pt idx="0">
                  <c:v>0.14600735639233609</c:v>
                </c:pt>
                <c:pt idx="1">
                  <c:v>0.13969524718777993</c:v>
                </c:pt>
                <c:pt idx="2">
                  <c:v>0.1332653264020851</c:v>
                </c:pt>
                <c:pt idx="3">
                  <c:v>0.12671017811060015</c:v>
                </c:pt>
                <c:pt idx="4">
                  <c:v>0.12002163674699284</c:v>
                </c:pt>
                <c:pt idx="5">
                  <c:v>0.12540521045215058</c:v>
                </c:pt>
                <c:pt idx="6">
                  <c:v>0.10620731122949589</c:v>
                </c:pt>
                <c:pt idx="7">
                  <c:v>9.9060395747004648E-2</c:v>
                </c:pt>
                <c:pt idx="8">
                  <c:v>9.1737497272265767E-2</c:v>
                </c:pt>
                <c:pt idx="9">
                  <c:v>8.4224655213891886E-2</c:v>
                </c:pt>
                <c:pt idx="10">
                  <c:v>7.6506124403703968E-2</c:v>
                </c:pt>
              </c:numCache>
            </c:numRef>
          </c:val>
          <c:smooth val="0"/>
          <c:extLst>
            <c:ext xmlns:c16="http://schemas.microsoft.com/office/drawing/2014/chart" uri="{C3380CC4-5D6E-409C-BE32-E72D297353CC}">
              <c16:uniqueId val="{00000005-D813-4D47-A82E-91C8149E184D}"/>
            </c:ext>
          </c:extLst>
        </c:ser>
        <c:dLbls>
          <c:showLegendKey val="0"/>
          <c:showVal val="0"/>
          <c:showCatName val="0"/>
          <c:showSerName val="0"/>
          <c:showPercent val="0"/>
          <c:showBubbleSize val="0"/>
        </c:dLbls>
        <c:marker val="1"/>
        <c:smooth val="0"/>
        <c:axId val="267771304"/>
        <c:axId val="267771696"/>
      </c:lineChart>
      <c:catAx>
        <c:axId val="267771304"/>
        <c:scaling>
          <c:orientation val="minMax"/>
        </c:scaling>
        <c:delete val="0"/>
        <c:axPos val="b"/>
        <c:numFmt formatCode="0%" sourceLinked="1"/>
        <c:majorTickMark val="out"/>
        <c:minorTickMark val="none"/>
        <c:tickLblPos val="nextTo"/>
        <c:crossAx val="267771696"/>
        <c:crossesAt val="-100000000"/>
        <c:auto val="1"/>
        <c:lblAlgn val="ctr"/>
        <c:lblOffset val="100"/>
        <c:noMultiLvlLbl val="0"/>
      </c:catAx>
      <c:valAx>
        <c:axId val="267771696"/>
        <c:scaling>
          <c:orientation val="minMax"/>
        </c:scaling>
        <c:delete val="0"/>
        <c:axPos val="l"/>
        <c:majorGridlines/>
        <c:numFmt formatCode="0%" sourceLinked="0"/>
        <c:majorTickMark val="out"/>
        <c:minorTickMark val="none"/>
        <c:tickLblPos val="nextTo"/>
        <c:crossAx val="267771304"/>
        <c:crosses val="autoZero"/>
        <c:crossBetween val="between"/>
      </c:valAx>
    </c:plotArea>
    <c:legend>
      <c:legendPos val="r"/>
      <c:layout>
        <c:manualLayout>
          <c:xMode val="edge"/>
          <c:yMode val="edge"/>
          <c:x val="0.41267818747969437"/>
          <c:y val="0.62828594342373867"/>
          <c:w val="0.45751189133347203"/>
          <c:h val="0.2467140565762613"/>
        </c:manualLayout>
      </c:layout>
      <c:overlay val="0"/>
      <c:spPr>
        <a:solidFill>
          <a:schemeClr val="bg1">
            <a:alpha val="50000"/>
          </a:schemeClr>
        </a:solidFill>
      </c:spPr>
      <c:txPr>
        <a:bodyPr/>
        <a:lstStyle/>
        <a:p>
          <a:pPr>
            <a:defRPr sz="900"/>
          </a:pPr>
          <a:endParaRPr lang="en-FI"/>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sensitivity!$C$1</c:f>
          <c:strCache>
            <c:ptCount val="1"/>
            <c:pt idx="0">
              <c:v>NPV</c:v>
            </c:pt>
          </c:strCache>
        </c:strRef>
      </c:tx>
      <c:layout>
        <c:manualLayout>
          <c:xMode val="edge"/>
          <c:yMode val="edge"/>
          <c:x val="0.48189744377435367"/>
          <c:y val="2.3329762115270592E-2"/>
        </c:manualLayout>
      </c:layout>
      <c:overlay val="0"/>
      <c:txPr>
        <a:bodyPr/>
        <a:lstStyle/>
        <a:p>
          <a:pPr>
            <a:defRPr sz="1200"/>
          </a:pPr>
          <a:endParaRPr lang="en-FI"/>
        </a:p>
      </c:txPr>
    </c:title>
    <c:autoTitleDeleted val="0"/>
    <c:plotArea>
      <c:layout>
        <c:manualLayout>
          <c:layoutTarget val="inner"/>
          <c:xMode val="edge"/>
          <c:yMode val="edge"/>
          <c:x val="7.2289816345974839E-2"/>
          <c:y val="0.1162153689122193"/>
          <c:w val="0.91787478234205422"/>
          <c:h val="0.77219889180519097"/>
        </c:manualLayout>
      </c:layout>
      <c:lineChart>
        <c:grouping val="standard"/>
        <c:varyColors val="0"/>
        <c:ser>
          <c:idx val="1"/>
          <c:order val="0"/>
          <c:tx>
            <c:strRef>
              <c:f>sensitivity!$A$3</c:f>
              <c:strCache>
                <c:ptCount val="1"/>
                <c:pt idx="0">
                  <c:v>Investment</c:v>
                </c:pt>
              </c:strCache>
            </c:strRef>
          </c:tx>
          <c:spPr>
            <a:ln w="25400">
              <a:solidFill>
                <a:srgbClr val="00B050"/>
              </a:solidFill>
            </a:ln>
          </c:spPr>
          <c:marker>
            <c:symbol val="circle"/>
            <c:size val="5"/>
            <c:spPr>
              <a:solidFill>
                <a:srgbClr val="00B050"/>
              </a:solidFill>
              <a:ln>
                <a:solidFill>
                  <a:srgbClr val="007635"/>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sensitivity!$C$3:$M$3</c:f>
              <c:numCache>
                <c:formatCode>0.0</c:formatCode>
                <c:ptCount val="11"/>
                <c:pt idx="0">
                  <c:v>8712498.8279852439</c:v>
                </c:pt>
                <c:pt idx="1">
                  <c:v>7739771.5552579723</c:v>
                </c:pt>
                <c:pt idx="2">
                  <c:v>6767044.2825306989</c:v>
                </c:pt>
                <c:pt idx="3">
                  <c:v>5794317.0098034274</c:v>
                </c:pt>
                <c:pt idx="4">
                  <c:v>4821589.7370761558</c:v>
                </c:pt>
                <c:pt idx="5">
                  <c:v>4796857.7214186396</c:v>
                </c:pt>
                <c:pt idx="6">
                  <c:v>2876135.191621609</c:v>
                </c:pt>
                <c:pt idx="7">
                  <c:v>1903407.9188943356</c:v>
                </c:pt>
                <c:pt idx="8">
                  <c:v>930680.64616706141</c:v>
                </c:pt>
                <c:pt idx="9">
                  <c:v>-42046.626560213743</c:v>
                </c:pt>
                <c:pt idx="10">
                  <c:v>-1014773.8992874853</c:v>
                </c:pt>
              </c:numCache>
            </c:numRef>
          </c:val>
          <c:smooth val="0"/>
          <c:extLst>
            <c:ext xmlns:c16="http://schemas.microsoft.com/office/drawing/2014/chart" uri="{C3380CC4-5D6E-409C-BE32-E72D297353CC}">
              <c16:uniqueId val="{00000000-6A58-4E45-86B4-BF2FD2F3F4BB}"/>
            </c:ext>
          </c:extLst>
        </c:ser>
        <c:ser>
          <c:idx val="3"/>
          <c:order val="1"/>
          <c:tx>
            <c:strRef>
              <c:f>sensitivity!$A$4</c:f>
              <c:strCache>
                <c:ptCount val="1"/>
                <c:pt idx="0">
                  <c:v>Bottles first 3 years</c:v>
                </c:pt>
              </c:strCache>
            </c:strRef>
          </c:tx>
          <c:spPr>
            <a:ln w="25400">
              <a:solidFill>
                <a:srgbClr val="92D050"/>
              </a:solidFill>
            </a:ln>
          </c:spPr>
          <c:marker>
            <c:symbol val="circle"/>
            <c:size val="5"/>
            <c:spPr>
              <a:solidFill>
                <a:srgbClr val="92D050"/>
              </a:solidFill>
              <a:ln>
                <a:solidFill>
                  <a:srgbClr val="00B050"/>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sensitivity!$C$4:$M$4</c:f>
              <c:numCache>
                <c:formatCode>0.0</c:formatCode>
                <c:ptCount val="11"/>
                <c:pt idx="0">
                  <c:v>4468144.3236754285</c:v>
                </c:pt>
                <c:pt idx="1">
                  <c:v>4344287.9518101187</c:v>
                </c:pt>
                <c:pt idx="2">
                  <c:v>4220431.579944809</c:v>
                </c:pt>
                <c:pt idx="3">
                  <c:v>4096575.2080795001</c:v>
                </c:pt>
                <c:pt idx="4">
                  <c:v>3972718.8362141894</c:v>
                </c:pt>
                <c:pt idx="5">
                  <c:v>4796857.7214186396</c:v>
                </c:pt>
                <c:pt idx="6">
                  <c:v>3725006.0924835699</c:v>
                </c:pt>
                <c:pt idx="7">
                  <c:v>3601149.7206182592</c:v>
                </c:pt>
                <c:pt idx="8">
                  <c:v>3477293.3487529494</c:v>
                </c:pt>
                <c:pt idx="9">
                  <c:v>3353436.9768876396</c:v>
                </c:pt>
                <c:pt idx="10">
                  <c:v>3229580.6050223308</c:v>
                </c:pt>
              </c:numCache>
            </c:numRef>
          </c:val>
          <c:smooth val="0"/>
          <c:extLst>
            <c:ext xmlns:c16="http://schemas.microsoft.com/office/drawing/2014/chart" uri="{C3380CC4-5D6E-409C-BE32-E72D297353CC}">
              <c16:uniqueId val="{00000001-6A58-4E45-86B4-BF2FD2F3F4BB}"/>
            </c:ext>
          </c:extLst>
        </c:ser>
        <c:ser>
          <c:idx val="4"/>
          <c:order val="2"/>
          <c:tx>
            <c:strRef>
              <c:f>sensitivity!$A$5</c:f>
              <c:strCache>
                <c:ptCount val="1"/>
                <c:pt idx="0">
                  <c:v>Bottles after 3 years</c:v>
                </c:pt>
              </c:strCache>
            </c:strRef>
          </c:tx>
          <c:spPr>
            <a:ln w="25400">
              <a:solidFill>
                <a:srgbClr val="FFC000"/>
              </a:solidFill>
            </a:ln>
          </c:spPr>
          <c:marker>
            <c:symbol val="circle"/>
            <c:size val="5"/>
            <c:spPr>
              <a:solidFill>
                <a:srgbClr val="FFC000"/>
              </a:solidFill>
              <a:ln>
                <a:solidFill>
                  <a:schemeClr val="accent6"/>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sensitivity!$C$5:$M$5</c:f>
              <c:numCache>
                <c:formatCode>0.0</c:formatCode>
                <c:ptCount val="11"/>
                <c:pt idx="0">
                  <c:v>5858112.9087157585</c:v>
                </c:pt>
                <c:pt idx="1">
                  <c:v>5456262.8198423833</c:v>
                </c:pt>
                <c:pt idx="2">
                  <c:v>5054412.730969009</c:v>
                </c:pt>
                <c:pt idx="3">
                  <c:v>4652562.6420956338</c:v>
                </c:pt>
                <c:pt idx="4">
                  <c:v>4250712.5532222576</c:v>
                </c:pt>
                <c:pt idx="5">
                  <c:v>4796857.7214186396</c:v>
                </c:pt>
                <c:pt idx="6">
                  <c:v>3447012.3754755063</c:v>
                </c:pt>
                <c:pt idx="7">
                  <c:v>3045162.2866021283</c:v>
                </c:pt>
                <c:pt idx="8">
                  <c:v>2643312.1977287531</c:v>
                </c:pt>
                <c:pt idx="9">
                  <c:v>2241462.1088553756</c:v>
                </c:pt>
                <c:pt idx="10">
                  <c:v>1839612.0199819992</c:v>
                </c:pt>
              </c:numCache>
            </c:numRef>
          </c:val>
          <c:smooth val="0"/>
          <c:extLst>
            <c:ext xmlns:c16="http://schemas.microsoft.com/office/drawing/2014/chart" uri="{C3380CC4-5D6E-409C-BE32-E72D297353CC}">
              <c16:uniqueId val="{00000002-6A58-4E45-86B4-BF2FD2F3F4BB}"/>
            </c:ext>
          </c:extLst>
        </c:ser>
        <c:ser>
          <c:idx val="5"/>
          <c:order val="3"/>
          <c:tx>
            <c:strRef>
              <c:f>sensitivity!$A$6</c:f>
              <c:strCache>
                <c:ptCount val="1"/>
                <c:pt idx="0">
                  <c:v>Price</c:v>
                </c:pt>
              </c:strCache>
            </c:strRef>
          </c:tx>
          <c:spPr>
            <a:ln w="25400">
              <a:solidFill>
                <a:srgbClr val="FF0000"/>
              </a:solidFill>
            </a:ln>
          </c:spPr>
          <c:marker>
            <c:symbol val="circle"/>
            <c:size val="5"/>
            <c:spPr>
              <a:solidFill>
                <a:srgbClr val="FF0000"/>
              </a:solidFill>
              <a:ln>
                <a:solidFill>
                  <a:srgbClr val="C00000"/>
                </a:solidFill>
              </a:ln>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sensitivity!$C$6:$M$6</c:f>
              <c:numCache>
                <c:formatCode>0.0</c:formatCode>
                <c:ptCount val="11"/>
                <c:pt idx="0">
                  <c:v>-4769276.2362853158</c:v>
                </c:pt>
                <c:pt idx="1">
                  <c:v>-3045648.4961584779</c:v>
                </c:pt>
                <c:pt idx="2">
                  <c:v>-1322020.7560316396</c:v>
                </c:pt>
                <c:pt idx="3">
                  <c:v>401606.98409519962</c:v>
                </c:pt>
                <c:pt idx="4">
                  <c:v>2125234.7242220361</c:v>
                </c:pt>
                <c:pt idx="5">
                  <c:v>4796857.7214186396</c:v>
                </c:pt>
                <c:pt idx="6">
                  <c:v>5572490.2044757111</c:v>
                </c:pt>
                <c:pt idx="7">
                  <c:v>7296117.94460255</c:v>
                </c:pt>
                <c:pt idx="8">
                  <c:v>9019745.6847293917</c:v>
                </c:pt>
                <c:pt idx="9">
                  <c:v>10743373.424856232</c:v>
                </c:pt>
                <c:pt idx="10">
                  <c:v>12467001.164983071</c:v>
                </c:pt>
              </c:numCache>
            </c:numRef>
          </c:val>
          <c:smooth val="0"/>
          <c:extLst>
            <c:ext xmlns:c16="http://schemas.microsoft.com/office/drawing/2014/chart" uri="{C3380CC4-5D6E-409C-BE32-E72D297353CC}">
              <c16:uniqueId val="{00000003-6A58-4E45-86B4-BF2FD2F3F4BB}"/>
            </c:ext>
          </c:extLst>
        </c:ser>
        <c:ser>
          <c:idx val="6"/>
          <c:order val="4"/>
          <c:tx>
            <c:strRef>
              <c:f>sensitivity!$A$7</c:f>
              <c:strCache>
                <c:ptCount val="1"/>
                <c:pt idx="0">
                  <c:v>Cost per botle</c:v>
                </c:pt>
              </c:strCache>
            </c:strRef>
          </c:tx>
          <c:spPr>
            <a:ln w="25400">
              <a:solidFill>
                <a:srgbClr val="0070C0"/>
              </a:solidFill>
            </a:ln>
          </c:spPr>
          <c:marker>
            <c:symbol val="circle"/>
            <c:size val="5"/>
            <c:spPr>
              <a:solidFill>
                <a:srgbClr val="0070C0"/>
              </a:solidFill>
              <a:ln>
                <a:solidFill>
                  <a:srgbClr val="002060"/>
                </a:solidFill>
              </a:ln>
            </c:spPr>
          </c:marker>
          <c:dPt>
            <c:idx val="5"/>
            <c:marker>
              <c:spPr>
                <a:solidFill>
                  <a:schemeClr val="tx1">
                    <a:lumMod val="50000"/>
                    <a:lumOff val="50000"/>
                  </a:schemeClr>
                </a:solidFill>
                <a:ln>
                  <a:solidFill>
                    <a:schemeClr val="tx1"/>
                  </a:solidFill>
                </a:ln>
              </c:spPr>
            </c:marker>
            <c:bubble3D val="0"/>
            <c:extLst>
              <c:ext xmlns:c16="http://schemas.microsoft.com/office/drawing/2014/chart" uri="{C3380CC4-5D6E-409C-BE32-E72D297353CC}">
                <c16:uniqueId val="{00000004-6A58-4E45-86B4-BF2FD2F3F4BB}"/>
              </c:ext>
            </c:extLst>
          </c:dPt>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A58-4E45-86B4-BF2FD2F3F4BB}"/>
                </c:ext>
              </c:extLst>
            </c:dLbl>
            <c:numFmt formatCode="#,##0.0" sourceLinked="0"/>
            <c:spPr>
              <a:noFill/>
              <a:ln>
                <a:noFill/>
              </a:ln>
              <a:effectLst/>
            </c:spPr>
            <c:txPr>
              <a:bodyPr/>
              <a:lstStyle/>
              <a:p>
                <a:pPr>
                  <a:defRPr b="1"/>
                </a:pPr>
                <a:endParaRPr lang="en-FI"/>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sensitivity!$C$7:$M$7</c:f>
              <c:numCache>
                <c:formatCode>0.0</c:formatCode>
                <c:ptCount val="11"/>
                <c:pt idx="0">
                  <c:v>6477394.7680423073</c:v>
                </c:pt>
                <c:pt idx="1">
                  <c:v>5951688.3073036242</c:v>
                </c:pt>
                <c:pt idx="2">
                  <c:v>5425981.8465649374</c:v>
                </c:pt>
                <c:pt idx="3">
                  <c:v>4900275.3858262505</c:v>
                </c:pt>
                <c:pt idx="4">
                  <c:v>4374568.9250875656</c:v>
                </c:pt>
                <c:pt idx="5">
                  <c:v>4796857.7214186396</c:v>
                </c:pt>
                <c:pt idx="6">
                  <c:v>3323156.0036101951</c:v>
                </c:pt>
                <c:pt idx="7">
                  <c:v>2797449.5428715087</c:v>
                </c:pt>
                <c:pt idx="8">
                  <c:v>2271743.0821328224</c:v>
                </c:pt>
                <c:pt idx="9">
                  <c:v>1746036.6213941358</c:v>
                </c:pt>
                <c:pt idx="10">
                  <c:v>1220330.1606554524</c:v>
                </c:pt>
              </c:numCache>
            </c:numRef>
          </c:val>
          <c:smooth val="0"/>
          <c:extLst>
            <c:ext xmlns:c16="http://schemas.microsoft.com/office/drawing/2014/chart" uri="{C3380CC4-5D6E-409C-BE32-E72D297353CC}">
              <c16:uniqueId val="{00000005-6A58-4E45-86B4-BF2FD2F3F4BB}"/>
            </c:ext>
          </c:extLst>
        </c:ser>
        <c:dLbls>
          <c:showLegendKey val="0"/>
          <c:showVal val="0"/>
          <c:showCatName val="0"/>
          <c:showSerName val="0"/>
          <c:showPercent val="0"/>
          <c:showBubbleSize val="0"/>
        </c:dLbls>
        <c:marker val="1"/>
        <c:smooth val="0"/>
        <c:axId val="267769344"/>
        <c:axId val="267770520"/>
      </c:lineChart>
      <c:catAx>
        <c:axId val="267769344"/>
        <c:scaling>
          <c:orientation val="minMax"/>
        </c:scaling>
        <c:delete val="0"/>
        <c:axPos val="b"/>
        <c:numFmt formatCode="0%" sourceLinked="1"/>
        <c:majorTickMark val="out"/>
        <c:minorTickMark val="none"/>
        <c:tickLblPos val="nextTo"/>
        <c:crossAx val="267770520"/>
        <c:crossesAt val="-100000000"/>
        <c:auto val="1"/>
        <c:lblAlgn val="ctr"/>
        <c:lblOffset val="100"/>
        <c:noMultiLvlLbl val="0"/>
      </c:catAx>
      <c:valAx>
        <c:axId val="267770520"/>
        <c:scaling>
          <c:orientation val="minMax"/>
        </c:scaling>
        <c:delete val="0"/>
        <c:axPos val="l"/>
        <c:majorGridlines/>
        <c:numFmt formatCode="0" sourceLinked="0"/>
        <c:majorTickMark val="out"/>
        <c:minorTickMark val="none"/>
        <c:tickLblPos val="nextTo"/>
        <c:crossAx val="267769344"/>
        <c:crosses val="autoZero"/>
        <c:crossBetween val="between"/>
      </c:valAx>
    </c:plotArea>
    <c:legend>
      <c:legendPos val="r"/>
      <c:layout>
        <c:manualLayout>
          <c:xMode val="edge"/>
          <c:yMode val="edge"/>
          <c:x val="0.41036015317278662"/>
          <c:y val="0.59570015921324826"/>
          <c:w val="0.44269928706755884"/>
          <c:h val="0.28406315097820478"/>
        </c:manualLayout>
      </c:layout>
      <c:overlay val="0"/>
      <c:spPr>
        <a:solidFill>
          <a:schemeClr val="bg1">
            <a:alpha val="50000"/>
          </a:schemeClr>
        </a:solidFill>
      </c:spPr>
      <c:txPr>
        <a:bodyPr/>
        <a:lstStyle/>
        <a:p>
          <a:pPr>
            <a:defRPr sz="900"/>
          </a:pPr>
          <a:endParaRPr lang="en-FI"/>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sensitivity!$O$1</c:f>
          <c:strCache>
            <c:ptCount val="1"/>
            <c:pt idx="0">
              <c:v>IRR</c:v>
            </c:pt>
          </c:strCache>
        </c:strRef>
      </c:tx>
      <c:layout>
        <c:manualLayout>
          <c:xMode val="edge"/>
          <c:yMode val="edge"/>
          <c:x val="0.47920072629502242"/>
          <c:y val="3.2222222222222222E-2"/>
        </c:manualLayout>
      </c:layout>
      <c:overlay val="0"/>
      <c:txPr>
        <a:bodyPr/>
        <a:lstStyle/>
        <a:p>
          <a:pPr>
            <a:defRPr sz="1200"/>
          </a:pPr>
          <a:endParaRPr lang="en-FI"/>
        </a:p>
      </c:txPr>
    </c:title>
    <c:autoTitleDeleted val="0"/>
    <c:plotArea>
      <c:layout>
        <c:manualLayout>
          <c:layoutTarget val="inner"/>
          <c:xMode val="edge"/>
          <c:yMode val="edge"/>
          <c:x val="5.8381610504528378E-2"/>
          <c:y val="0.13936351706036745"/>
          <c:w val="0.93641905679731618"/>
          <c:h val="0.74905074365704283"/>
        </c:manualLayout>
      </c:layout>
      <c:lineChart>
        <c:grouping val="standard"/>
        <c:varyColors val="0"/>
        <c:ser>
          <c:idx val="1"/>
          <c:order val="0"/>
          <c:tx>
            <c:strRef>
              <c:f>sensitivity!$A$3</c:f>
              <c:strCache>
                <c:ptCount val="1"/>
                <c:pt idx="0">
                  <c:v>Investment</c:v>
                </c:pt>
              </c:strCache>
            </c:strRef>
          </c:tx>
          <c:spPr>
            <a:ln w="25400">
              <a:solidFill>
                <a:srgbClr val="00B050"/>
              </a:solidFill>
            </a:ln>
          </c:spPr>
          <c:marker>
            <c:symbol val="circle"/>
            <c:size val="5"/>
            <c:spPr>
              <a:solidFill>
                <a:srgbClr val="00B050"/>
              </a:solidFill>
              <a:ln>
                <a:solidFill>
                  <a:srgbClr val="007635"/>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sensitivity!$O$3:$Y$3</c:f>
              <c:numCache>
                <c:formatCode>0.0%</c:formatCode>
                <c:ptCount val="11"/>
                <c:pt idx="0">
                  <c:v>0.25973794787301085</c:v>
                </c:pt>
                <c:pt idx="1">
                  <c:v>0.21612288322727591</c:v>
                </c:pt>
                <c:pt idx="2">
                  <c:v>0.18233810948897289</c:v>
                </c:pt>
                <c:pt idx="3">
                  <c:v>0.15508734629902698</c:v>
                </c:pt>
                <c:pt idx="4">
                  <c:v>0.13244228280550607</c:v>
                </c:pt>
                <c:pt idx="5">
                  <c:v>0.12540521045215058</c:v>
                </c:pt>
                <c:pt idx="6">
                  <c:v>9.6527285945511077E-2</c:v>
                </c:pt>
                <c:pt idx="7">
                  <c:v>8.1893365771204429E-2</c:v>
                </c:pt>
                <c:pt idx="8">
                  <c:v>6.88873121152489E-2</c:v>
                </c:pt>
                <c:pt idx="9">
                  <c:v>5.7211904693033944E-2</c:v>
                </c:pt>
                <c:pt idx="10">
                  <c:v>4.664171799605521E-2</c:v>
                </c:pt>
              </c:numCache>
            </c:numRef>
          </c:val>
          <c:smooth val="0"/>
          <c:extLst>
            <c:ext xmlns:c16="http://schemas.microsoft.com/office/drawing/2014/chart" uri="{C3380CC4-5D6E-409C-BE32-E72D297353CC}">
              <c16:uniqueId val="{00000000-61E3-47EE-ADBD-6CDF7C9DDB21}"/>
            </c:ext>
          </c:extLst>
        </c:ser>
        <c:ser>
          <c:idx val="3"/>
          <c:order val="1"/>
          <c:tx>
            <c:strRef>
              <c:f>sensitivity!$A$4</c:f>
              <c:strCache>
                <c:ptCount val="1"/>
                <c:pt idx="0">
                  <c:v>Bottles first 3 years</c:v>
                </c:pt>
              </c:strCache>
            </c:strRef>
          </c:tx>
          <c:spPr>
            <a:ln w="25400">
              <a:solidFill>
                <a:srgbClr val="92D050"/>
              </a:solidFill>
            </a:ln>
          </c:spPr>
          <c:marker>
            <c:symbol val="circle"/>
            <c:size val="5"/>
            <c:spPr>
              <a:solidFill>
                <a:srgbClr val="92D050"/>
              </a:solidFill>
              <a:ln>
                <a:solidFill>
                  <a:srgbClr val="00B050"/>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sensitivity!$O$4:$Y$4</c:f>
              <c:numCache>
                <c:formatCode>0.0%</c:formatCode>
                <c:ptCount val="11"/>
                <c:pt idx="0">
                  <c:v>0.12339101408465947</c:v>
                </c:pt>
                <c:pt idx="1">
                  <c:v>0.12132140146865433</c:v>
                </c:pt>
                <c:pt idx="2">
                  <c:v>0.11926659742977419</c:v>
                </c:pt>
                <c:pt idx="3">
                  <c:v>0.11722656810269494</c:v>
                </c:pt>
                <c:pt idx="4">
                  <c:v>0.11520127627609722</c:v>
                </c:pt>
                <c:pt idx="5">
                  <c:v>0.12540521045215058</c:v>
                </c:pt>
                <c:pt idx="6">
                  <c:v>0.11119474010934449</c:v>
                </c:pt>
                <c:pt idx="7">
                  <c:v>0.10921340546063441</c:v>
                </c:pt>
                <c:pt idx="8">
                  <c:v>0.1072466278864177</c:v>
                </c:pt>
                <c:pt idx="9">
                  <c:v>0.10529435486243899</c:v>
                </c:pt>
                <c:pt idx="10">
                  <c:v>0.1033565310902631</c:v>
                </c:pt>
              </c:numCache>
            </c:numRef>
          </c:val>
          <c:smooth val="0"/>
          <c:extLst>
            <c:ext xmlns:c16="http://schemas.microsoft.com/office/drawing/2014/chart" uri="{C3380CC4-5D6E-409C-BE32-E72D297353CC}">
              <c16:uniqueId val="{00000001-61E3-47EE-ADBD-6CDF7C9DDB21}"/>
            </c:ext>
          </c:extLst>
        </c:ser>
        <c:ser>
          <c:idx val="4"/>
          <c:order val="2"/>
          <c:tx>
            <c:strRef>
              <c:f>sensitivity!$A$5</c:f>
              <c:strCache>
                <c:ptCount val="1"/>
                <c:pt idx="0">
                  <c:v>Bottles after 3 years</c:v>
                </c:pt>
              </c:strCache>
            </c:strRef>
          </c:tx>
          <c:spPr>
            <a:ln w="25400">
              <a:solidFill>
                <a:srgbClr val="FFC000"/>
              </a:solidFill>
            </a:ln>
          </c:spPr>
          <c:marker>
            <c:symbol val="circle"/>
            <c:size val="5"/>
            <c:spPr>
              <a:solidFill>
                <a:srgbClr val="FFC000"/>
              </a:solidFill>
              <a:ln>
                <a:solidFill>
                  <a:schemeClr val="accent6"/>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sensitivity!$O$5:$Y$5</c:f>
              <c:numCache>
                <c:formatCode>0.0%</c:formatCode>
                <c:ptCount val="11"/>
                <c:pt idx="0">
                  <c:v>0.1360820091636552</c:v>
                </c:pt>
                <c:pt idx="1">
                  <c:v>0.13174192482222447</c:v>
                </c:pt>
                <c:pt idx="2">
                  <c:v>0.12729003139938611</c:v>
                </c:pt>
                <c:pt idx="3">
                  <c:v>0.12271940386155245</c:v>
                </c:pt>
                <c:pt idx="4">
                  <c:v>0.1180224237324341</c:v>
                </c:pt>
                <c:pt idx="5">
                  <c:v>0.12540521045215058</c:v>
                </c:pt>
                <c:pt idx="6">
                  <c:v>0.10821486095801669</c:v>
                </c:pt>
                <c:pt idx="7">
                  <c:v>0.10308460162749777</c:v>
                </c:pt>
                <c:pt idx="8">
                  <c:v>9.7788333443742603E-2</c:v>
                </c:pt>
                <c:pt idx="9">
                  <c:v>9.2313077325123061E-2</c:v>
                </c:pt>
                <c:pt idx="10">
                  <c:v>8.6644202341469523E-2</c:v>
                </c:pt>
              </c:numCache>
            </c:numRef>
          </c:val>
          <c:smooth val="0"/>
          <c:extLst>
            <c:ext xmlns:c16="http://schemas.microsoft.com/office/drawing/2014/chart" uri="{C3380CC4-5D6E-409C-BE32-E72D297353CC}">
              <c16:uniqueId val="{00000002-61E3-47EE-ADBD-6CDF7C9DDB21}"/>
            </c:ext>
          </c:extLst>
        </c:ser>
        <c:ser>
          <c:idx val="5"/>
          <c:order val="3"/>
          <c:tx>
            <c:strRef>
              <c:f>sensitivity!$A$6</c:f>
              <c:strCache>
                <c:ptCount val="1"/>
                <c:pt idx="0">
                  <c:v>Price</c:v>
                </c:pt>
              </c:strCache>
            </c:strRef>
          </c:tx>
          <c:spPr>
            <a:ln w="25400">
              <a:solidFill>
                <a:srgbClr val="FF0000"/>
              </a:solidFill>
            </a:ln>
          </c:spPr>
          <c:marker>
            <c:symbol val="circle"/>
            <c:size val="5"/>
            <c:spPr>
              <a:solidFill>
                <a:srgbClr val="FF0000"/>
              </a:solidFill>
              <a:ln>
                <a:solidFill>
                  <a:srgbClr val="C00000"/>
                </a:solidFill>
              </a:ln>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sensitivity!$O$6:$Y$6</c:f>
              <c:numCache>
                <c:formatCode>0.0%</c:formatCode>
                <c:ptCount val="11"/>
                <c:pt idx="0">
                  <c:v>-3.4814508886920281E-2</c:v>
                </c:pt>
                <c:pt idx="1">
                  <c:v>3.3136141485945458E-3</c:v>
                </c:pt>
                <c:pt idx="2">
                  <c:v>3.5615614176365051E-2</c:v>
                </c:pt>
                <c:pt idx="3">
                  <c:v>6.4032891274407033E-2</c:v>
                </c:pt>
                <c:pt idx="4">
                  <c:v>8.9663484938351079E-2</c:v>
                </c:pt>
                <c:pt idx="5">
                  <c:v>0.12540521045215058</c:v>
                </c:pt>
                <c:pt idx="6">
                  <c:v>0.13506952751908519</c:v>
                </c:pt>
                <c:pt idx="7">
                  <c:v>0.15561884005796101</c:v>
                </c:pt>
                <c:pt idx="8">
                  <c:v>0.17507096200413907</c:v>
                </c:pt>
                <c:pt idx="9">
                  <c:v>0.19360062853931637</c:v>
                </c:pt>
                <c:pt idx="10">
                  <c:v>0.2113426736213917</c:v>
                </c:pt>
              </c:numCache>
            </c:numRef>
          </c:val>
          <c:smooth val="0"/>
          <c:extLst>
            <c:ext xmlns:c16="http://schemas.microsoft.com/office/drawing/2014/chart" uri="{C3380CC4-5D6E-409C-BE32-E72D297353CC}">
              <c16:uniqueId val="{00000003-61E3-47EE-ADBD-6CDF7C9DDB21}"/>
            </c:ext>
          </c:extLst>
        </c:ser>
        <c:ser>
          <c:idx val="6"/>
          <c:order val="4"/>
          <c:tx>
            <c:strRef>
              <c:f>sensitivity!$A$7</c:f>
              <c:strCache>
                <c:ptCount val="1"/>
                <c:pt idx="0">
                  <c:v>Cost per botle</c:v>
                </c:pt>
              </c:strCache>
            </c:strRef>
          </c:tx>
          <c:spPr>
            <a:ln w="25400">
              <a:solidFill>
                <a:srgbClr val="0070C0"/>
              </a:solidFill>
            </a:ln>
          </c:spPr>
          <c:marker>
            <c:symbol val="circle"/>
            <c:size val="5"/>
            <c:spPr>
              <a:solidFill>
                <a:srgbClr val="0070C0"/>
              </a:solidFill>
              <a:ln>
                <a:solidFill>
                  <a:srgbClr val="002060"/>
                </a:solidFill>
              </a:ln>
            </c:spPr>
          </c:marker>
          <c:dPt>
            <c:idx val="5"/>
            <c:marker>
              <c:spPr>
                <a:solidFill>
                  <a:schemeClr val="tx1">
                    <a:lumMod val="50000"/>
                    <a:lumOff val="50000"/>
                  </a:schemeClr>
                </a:solidFill>
                <a:ln>
                  <a:solidFill>
                    <a:schemeClr val="tx1"/>
                  </a:solidFill>
                </a:ln>
              </c:spPr>
            </c:marker>
            <c:bubble3D val="0"/>
            <c:extLst>
              <c:ext xmlns:c16="http://schemas.microsoft.com/office/drawing/2014/chart" uri="{C3380CC4-5D6E-409C-BE32-E72D297353CC}">
                <c16:uniqueId val="{00000004-61E3-47EE-ADBD-6CDF7C9DDB21}"/>
              </c:ext>
            </c:extLst>
          </c:dPt>
          <c:dLbls>
            <c:dLbl>
              <c:idx val="5"/>
              <c:layout>
                <c:manualLayout>
                  <c:x val="-4.655781031543519E-2"/>
                  <c:y val="-6.528944298629338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1E3-47EE-ADBD-6CDF7C9DDB21}"/>
                </c:ext>
              </c:extLst>
            </c:dLbl>
            <c:numFmt formatCode="0.0%" sourceLinked="0"/>
            <c:spPr>
              <a:noFill/>
              <a:ln>
                <a:noFill/>
              </a:ln>
              <a:effectLst/>
            </c:spPr>
            <c:txPr>
              <a:bodyPr/>
              <a:lstStyle/>
              <a:p>
                <a:pPr>
                  <a:defRPr b="1"/>
                </a:pPr>
                <a:endParaRPr lang="en-FI"/>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sensitivity!$O$7:$Y$7</c:f>
              <c:numCache>
                <c:formatCode>0.0%</c:formatCode>
                <c:ptCount val="11"/>
                <c:pt idx="0">
                  <c:v>0.14600735639233609</c:v>
                </c:pt>
                <c:pt idx="1">
                  <c:v>0.13969524718777993</c:v>
                </c:pt>
                <c:pt idx="2">
                  <c:v>0.1332653264020851</c:v>
                </c:pt>
                <c:pt idx="3">
                  <c:v>0.12671017811060015</c:v>
                </c:pt>
                <c:pt idx="4">
                  <c:v>0.12002163674699284</c:v>
                </c:pt>
                <c:pt idx="5">
                  <c:v>0.12540521045215058</c:v>
                </c:pt>
                <c:pt idx="6">
                  <c:v>0.10620731122949589</c:v>
                </c:pt>
                <c:pt idx="7">
                  <c:v>9.9060395747004648E-2</c:v>
                </c:pt>
                <c:pt idx="8">
                  <c:v>9.1737497272265767E-2</c:v>
                </c:pt>
                <c:pt idx="9">
                  <c:v>8.4224655213891886E-2</c:v>
                </c:pt>
                <c:pt idx="10">
                  <c:v>7.6506124403703968E-2</c:v>
                </c:pt>
              </c:numCache>
            </c:numRef>
          </c:val>
          <c:smooth val="0"/>
          <c:extLst>
            <c:ext xmlns:c16="http://schemas.microsoft.com/office/drawing/2014/chart" uri="{C3380CC4-5D6E-409C-BE32-E72D297353CC}">
              <c16:uniqueId val="{00000005-61E3-47EE-ADBD-6CDF7C9DDB21}"/>
            </c:ext>
          </c:extLst>
        </c:ser>
        <c:dLbls>
          <c:showLegendKey val="0"/>
          <c:showVal val="0"/>
          <c:showCatName val="0"/>
          <c:showSerName val="0"/>
          <c:showPercent val="0"/>
          <c:showBubbleSize val="0"/>
        </c:dLbls>
        <c:marker val="1"/>
        <c:smooth val="0"/>
        <c:axId val="267771304"/>
        <c:axId val="267771696"/>
      </c:lineChart>
      <c:catAx>
        <c:axId val="267771304"/>
        <c:scaling>
          <c:orientation val="minMax"/>
        </c:scaling>
        <c:delete val="0"/>
        <c:axPos val="b"/>
        <c:numFmt formatCode="0%" sourceLinked="1"/>
        <c:majorTickMark val="out"/>
        <c:minorTickMark val="none"/>
        <c:tickLblPos val="nextTo"/>
        <c:crossAx val="267771696"/>
        <c:crossesAt val="-100000000"/>
        <c:auto val="1"/>
        <c:lblAlgn val="ctr"/>
        <c:lblOffset val="100"/>
        <c:noMultiLvlLbl val="0"/>
      </c:catAx>
      <c:valAx>
        <c:axId val="267771696"/>
        <c:scaling>
          <c:orientation val="minMax"/>
        </c:scaling>
        <c:delete val="0"/>
        <c:axPos val="l"/>
        <c:majorGridlines/>
        <c:numFmt formatCode="0%" sourceLinked="0"/>
        <c:majorTickMark val="out"/>
        <c:minorTickMark val="none"/>
        <c:tickLblPos val="nextTo"/>
        <c:crossAx val="267771304"/>
        <c:crosses val="autoZero"/>
        <c:crossBetween val="between"/>
      </c:valAx>
    </c:plotArea>
    <c:legend>
      <c:legendPos val="r"/>
      <c:layout>
        <c:manualLayout>
          <c:xMode val="edge"/>
          <c:yMode val="edge"/>
          <c:x val="0.41267818747969437"/>
          <c:y val="0.62828594342373867"/>
          <c:w val="0.45751189133347203"/>
          <c:h val="0.2467140565762613"/>
        </c:manualLayout>
      </c:layout>
      <c:overlay val="0"/>
      <c:spPr>
        <a:solidFill>
          <a:schemeClr val="bg1">
            <a:alpha val="50000"/>
          </a:schemeClr>
        </a:solidFill>
      </c:spPr>
      <c:txPr>
        <a:bodyPr/>
        <a:lstStyle/>
        <a:p>
          <a:pPr>
            <a:defRPr sz="900"/>
          </a:pPr>
          <a:endParaRPr lang="en-FI"/>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i-FI"/>
              <a:t>Probability Distribution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FI"/>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Pt>
            <c:idx val="0"/>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F1A-DC4E-9FFF-8010BCC33F06}"/>
              </c:ext>
            </c:extLst>
          </c:dPt>
          <c:dPt>
            <c:idx val="1"/>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F1A-DC4E-9FFF-8010BCC33F06}"/>
              </c:ext>
            </c:extLst>
          </c:dPt>
          <c:dPt>
            <c:idx val="2"/>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F1A-DC4E-9FFF-8010BCC33F06}"/>
              </c:ext>
            </c:extLst>
          </c:dPt>
          <c:dPt>
            <c:idx val="3"/>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F1A-DC4E-9FFF-8010BCC33F06}"/>
              </c:ext>
            </c:extLst>
          </c:dPt>
          <c:dPt>
            <c:idx val="4"/>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2F1A-DC4E-9FFF-8010BCC33F06}"/>
              </c:ext>
            </c:extLst>
          </c:dPt>
          <c:dPt>
            <c:idx val="5"/>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2F1A-DC4E-9FFF-8010BCC33F06}"/>
              </c:ext>
            </c:extLst>
          </c:dPt>
          <c:dPt>
            <c:idx val="6"/>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2F1A-DC4E-9FFF-8010BCC33F06}"/>
              </c:ext>
            </c:extLst>
          </c:dPt>
          <c:dPt>
            <c:idx val="7"/>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2F1A-DC4E-9FFF-8010BCC33F06}"/>
              </c:ext>
            </c:extLst>
          </c:dPt>
          <c:dPt>
            <c:idx val="8"/>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2F1A-DC4E-9FFF-8010BCC33F06}"/>
              </c:ext>
            </c:extLst>
          </c:dPt>
          <c:dPt>
            <c:idx val="9"/>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2F1A-DC4E-9FFF-8010BCC33F06}"/>
              </c:ext>
            </c:extLst>
          </c:dPt>
          <c:dPt>
            <c:idx val="10"/>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2F1A-DC4E-9FFF-8010BCC33F06}"/>
              </c:ext>
            </c:extLst>
          </c:dPt>
          <c:dPt>
            <c:idx val="11"/>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2F1A-DC4E-9FFF-8010BCC33F06}"/>
              </c:ext>
            </c:extLst>
          </c:dPt>
          <c:dPt>
            <c:idx val="12"/>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2F1A-DC4E-9FFF-8010BCC33F06}"/>
              </c:ext>
            </c:extLst>
          </c:dPt>
          <c:dPt>
            <c:idx val="13"/>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2F1A-DC4E-9FFF-8010BCC33F06}"/>
              </c:ext>
            </c:extLst>
          </c:dPt>
          <c:dPt>
            <c:idx val="14"/>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2F1A-DC4E-9FFF-8010BCC33F06}"/>
              </c:ext>
            </c:extLst>
          </c:dPt>
          <c:dPt>
            <c:idx val="15"/>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2F1A-DC4E-9FFF-8010BCC33F06}"/>
              </c:ext>
            </c:extLst>
          </c:dPt>
          <c:dPt>
            <c:idx val="16"/>
            <c:invertIfNegative val="1"/>
            <c:bubble3D val="0"/>
            <c:spPr>
              <a:solidFill>
                <a:srgbClr val="FF0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2F1A-DC4E-9FFF-8010BCC33F06}"/>
              </c:ext>
            </c:extLst>
          </c:dPt>
          <c:dPt>
            <c:idx val="17"/>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2F1A-DC4E-9FFF-8010BCC33F06}"/>
              </c:ext>
            </c:extLst>
          </c:dPt>
          <c:dPt>
            <c:idx val="18"/>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5-2F1A-DC4E-9FFF-8010BCC33F06}"/>
              </c:ext>
            </c:extLst>
          </c:dPt>
          <c:dPt>
            <c:idx val="19"/>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7-2F1A-DC4E-9FFF-8010BCC33F06}"/>
              </c:ext>
            </c:extLst>
          </c:dPt>
          <c:dPt>
            <c:idx val="20"/>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9-2F1A-DC4E-9FFF-8010BCC33F06}"/>
              </c:ext>
            </c:extLst>
          </c:dPt>
          <c:dPt>
            <c:idx val="21"/>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B-2F1A-DC4E-9FFF-8010BCC33F06}"/>
              </c:ext>
            </c:extLst>
          </c:dPt>
          <c:dPt>
            <c:idx val="22"/>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D-2F1A-DC4E-9FFF-8010BCC33F06}"/>
              </c:ext>
            </c:extLst>
          </c:dPt>
          <c:dPt>
            <c:idx val="23"/>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F-2F1A-DC4E-9FFF-8010BCC33F06}"/>
              </c:ext>
            </c:extLst>
          </c:dPt>
          <c:dPt>
            <c:idx val="24"/>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1-2F1A-DC4E-9FFF-8010BCC33F06}"/>
              </c:ext>
            </c:extLst>
          </c:dPt>
          <c:dPt>
            <c:idx val="25"/>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3-2F1A-DC4E-9FFF-8010BCC33F06}"/>
              </c:ext>
            </c:extLst>
          </c:dPt>
          <c:dPt>
            <c:idx val="26"/>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5-2F1A-DC4E-9FFF-8010BCC33F06}"/>
              </c:ext>
            </c:extLst>
          </c:dPt>
          <c:dPt>
            <c:idx val="27"/>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7-2F1A-DC4E-9FFF-8010BCC33F06}"/>
              </c:ext>
            </c:extLst>
          </c:dPt>
          <c:dPt>
            <c:idx val="28"/>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9-2F1A-DC4E-9FFF-8010BCC33F06}"/>
              </c:ext>
            </c:extLst>
          </c:dPt>
          <c:dPt>
            <c:idx val="29"/>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2F1A-DC4E-9FFF-8010BCC33F06}"/>
              </c:ext>
            </c:extLst>
          </c:dPt>
          <c:dPt>
            <c:idx val="30"/>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2F1A-DC4E-9FFF-8010BCC33F06}"/>
              </c:ext>
            </c:extLst>
          </c:dPt>
          <c:dPt>
            <c:idx val="31"/>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F-2F1A-DC4E-9FFF-8010BCC33F06}"/>
              </c:ext>
            </c:extLst>
          </c:dPt>
          <c:dPt>
            <c:idx val="32"/>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1-2F1A-DC4E-9FFF-8010BCC33F06}"/>
              </c:ext>
            </c:extLst>
          </c:dPt>
          <c:dPt>
            <c:idx val="33"/>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3-2F1A-DC4E-9FFF-8010BCC33F06}"/>
              </c:ext>
            </c:extLst>
          </c:dPt>
          <c:dPt>
            <c:idx val="34"/>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5-2F1A-DC4E-9FFF-8010BCC33F06}"/>
              </c:ext>
            </c:extLst>
          </c:dPt>
          <c:dPt>
            <c:idx val="35"/>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7-2F1A-DC4E-9FFF-8010BCC33F06}"/>
              </c:ext>
            </c:extLst>
          </c:dPt>
          <c:dPt>
            <c:idx val="36"/>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9-2F1A-DC4E-9FFF-8010BCC33F06}"/>
              </c:ext>
            </c:extLst>
          </c:dPt>
          <c:dPt>
            <c:idx val="37"/>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2F1A-DC4E-9FFF-8010BCC33F06}"/>
              </c:ext>
            </c:extLst>
          </c:dPt>
          <c:dPt>
            <c:idx val="38"/>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2F1A-DC4E-9FFF-8010BCC33F06}"/>
              </c:ext>
            </c:extLst>
          </c:dPt>
          <c:dPt>
            <c:idx val="39"/>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2F1A-DC4E-9FFF-8010BCC33F06}"/>
              </c:ext>
            </c:extLst>
          </c:dPt>
          <c:dPt>
            <c:idx val="40"/>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2F1A-DC4E-9FFF-8010BCC33F06}"/>
              </c:ext>
            </c:extLst>
          </c:dPt>
          <c:dPt>
            <c:idx val="41"/>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2F1A-DC4E-9FFF-8010BCC33F06}"/>
              </c:ext>
            </c:extLst>
          </c:dPt>
          <c:dPt>
            <c:idx val="42"/>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2F1A-DC4E-9FFF-8010BCC33F06}"/>
              </c:ext>
            </c:extLst>
          </c:dPt>
          <c:dPt>
            <c:idx val="43"/>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2F1A-DC4E-9FFF-8010BCC33F06}"/>
              </c:ext>
            </c:extLst>
          </c:dPt>
          <c:dPt>
            <c:idx val="44"/>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2F1A-DC4E-9FFF-8010BCC33F06}"/>
              </c:ext>
            </c:extLst>
          </c:dPt>
          <c:dPt>
            <c:idx val="45"/>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2F1A-DC4E-9FFF-8010BCC33F06}"/>
              </c:ext>
            </c:extLst>
          </c:dPt>
          <c:dPt>
            <c:idx val="46"/>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2F1A-DC4E-9FFF-8010BCC33F06}"/>
              </c:ext>
            </c:extLst>
          </c:dPt>
          <c:dPt>
            <c:idx val="47"/>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2F1A-DC4E-9FFF-8010BCC33F06}"/>
              </c:ext>
            </c:extLst>
          </c:dPt>
          <c:dPt>
            <c:idx val="48"/>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2F1A-DC4E-9FFF-8010BCC33F06}"/>
              </c:ext>
            </c:extLst>
          </c:dPt>
          <c:dPt>
            <c:idx val="49"/>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2F1A-DC4E-9FFF-8010BCC33F06}"/>
              </c:ext>
            </c:extLst>
          </c:dPt>
          <c:dPt>
            <c:idx val="50"/>
            <c:invertIfNegative val="1"/>
            <c:bubble3D val="0"/>
            <c:spPr>
              <a:solidFill>
                <a:srgbClr val="00B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2F1A-DC4E-9FFF-8010BCC33F06}"/>
              </c:ext>
            </c:extLst>
          </c:dPt>
          <c:cat>
            <c:numRef>
              <c:f>MC_hist!$F$2:$F$52</c:f>
              <c:numCache>
                <c:formatCode>General</c:formatCode>
                <c:ptCount val="51"/>
                <c:pt idx="0">
                  <c:v>-10000000</c:v>
                </c:pt>
                <c:pt idx="1">
                  <c:v>-9400000</c:v>
                </c:pt>
                <c:pt idx="2">
                  <c:v>-8800000</c:v>
                </c:pt>
                <c:pt idx="3">
                  <c:v>-8200000</c:v>
                </c:pt>
                <c:pt idx="4">
                  <c:v>-7600000</c:v>
                </c:pt>
                <c:pt idx="5">
                  <c:v>-7000000</c:v>
                </c:pt>
                <c:pt idx="6">
                  <c:v>-6400000</c:v>
                </c:pt>
                <c:pt idx="7">
                  <c:v>-5800000</c:v>
                </c:pt>
                <c:pt idx="8">
                  <c:v>-5200000</c:v>
                </c:pt>
                <c:pt idx="9">
                  <c:v>-4600000</c:v>
                </c:pt>
                <c:pt idx="10">
                  <c:v>-4000000</c:v>
                </c:pt>
                <c:pt idx="11">
                  <c:v>-3400000</c:v>
                </c:pt>
                <c:pt idx="12">
                  <c:v>-2800000</c:v>
                </c:pt>
                <c:pt idx="13">
                  <c:v>-2200000</c:v>
                </c:pt>
                <c:pt idx="14">
                  <c:v>-1600000</c:v>
                </c:pt>
                <c:pt idx="15">
                  <c:v>-1000000</c:v>
                </c:pt>
                <c:pt idx="16">
                  <c:v>-400000</c:v>
                </c:pt>
                <c:pt idx="17">
                  <c:v>200000</c:v>
                </c:pt>
                <c:pt idx="18">
                  <c:v>800000</c:v>
                </c:pt>
                <c:pt idx="19">
                  <c:v>1400000</c:v>
                </c:pt>
                <c:pt idx="20">
                  <c:v>2000000</c:v>
                </c:pt>
                <c:pt idx="21">
                  <c:v>2600000</c:v>
                </c:pt>
                <c:pt idx="22">
                  <c:v>3200000</c:v>
                </c:pt>
                <c:pt idx="23">
                  <c:v>3800000</c:v>
                </c:pt>
                <c:pt idx="24">
                  <c:v>4400000</c:v>
                </c:pt>
                <c:pt idx="25">
                  <c:v>5000000</c:v>
                </c:pt>
                <c:pt idx="26">
                  <c:v>5600000</c:v>
                </c:pt>
                <c:pt idx="27">
                  <c:v>6200000</c:v>
                </c:pt>
                <c:pt idx="28">
                  <c:v>6800000</c:v>
                </c:pt>
                <c:pt idx="29">
                  <c:v>7400000</c:v>
                </c:pt>
                <c:pt idx="30">
                  <c:v>8000000</c:v>
                </c:pt>
                <c:pt idx="31">
                  <c:v>8600000</c:v>
                </c:pt>
                <c:pt idx="32">
                  <c:v>9200000</c:v>
                </c:pt>
                <c:pt idx="33">
                  <c:v>9800000</c:v>
                </c:pt>
                <c:pt idx="34">
                  <c:v>10400000</c:v>
                </c:pt>
                <c:pt idx="35">
                  <c:v>11000000</c:v>
                </c:pt>
                <c:pt idx="36">
                  <c:v>11600000</c:v>
                </c:pt>
                <c:pt idx="37">
                  <c:v>12200000</c:v>
                </c:pt>
                <c:pt idx="38">
                  <c:v>12800000</c:v>
                </c:pt>
                <c:pt idx="39">
                  <c:v>13400000</c:v>
                </c:pt>
                <c:pt idx="40">
                  <c:v>14000000</c:v>
                </c:pt>
                <c:pt idx="41">
                  <c:v>14600000</c:v>
                </c:pt>
                <c:pt idx="42">
                  <c:v>15200000</c:v>
                </c:pt>
                <c:pt idx="43">
                  <c:v>15800000</c:v>
                </c:pt>
                <c:pt idx="44">
                  <c:v>16400000</c:v>
                </c:pt>
                <c:pt idx="45">
                  <c:v>17000000</c:v>
                </c:pt>
                <c:pt idx="46">
                  <c:v>17600000</c:v>
                </c:pt>
                <c:pt idx="47">
                  <c:v>18200000</c:v>
                </c:pt>
                <c:pt idx="48">
                  <c:v>18800000</c:v>
                </c:pt>
                <c:pt idx="49">
                  <c:v>19400000</c:v>
                </c:pt>
                <c:pt idx="50">
                  <c:v>20000000</c:v>
                </c:pt>
              </c:numCache>
            </c:numRef>
          </c:cat>
          <c:val>
            <c:numRef>
              <c:f>MC_hist!$G$2:$G$52</c:f>
              <c:numCache>
                <c:formatCode>General</c:formatCode>
                <c:ptCount val="51"/>
                <c:pt idx="0">
                  <c:v>0</c:v>
                </c:pt>
                <c:pt idx="1">
                  <c:v>0</c:v>
                </c:pt>
                <c:pt idx="2">
                  <c:v>0</c:v>
                </c:pt>
                <c:pt idx="3">
                  <c:v>0</c:v>
                </c:pt>
                <c:pt idx="4">
                  <c:v>0</c:v>
                </c:pt>
                <c:pt idx="5">
                  <c:v>0</c:v>
                </c:pt>
                <c:pt idx="6">
                  <c:v>0</c:v>
                </c:pt>
                <c:pt idx="7">
                  <c:v>0</c:v>
                </c:pt>
                <c:pt idx="8">
                  <c:v>0</c:v>
                </c:pt>
                <c:pt idx="9">
                  <c:v>1</c:v>
                </c:pt>
                <c:pt idx="10">
                  <c:v>0</c:v>
                </c:pt>
                <c:pt idx="11">
                  <c:v>0</c:v>
                </c:pt>
                <c:pt idx="12">
                  <c:v>1</c:v>
                </c:pt>
                <c:pt idx="13">
                  <c:v>1</c:v>
                </c:pt>
                <c:pt idx="14">
                  <c:v>2</c:v>
                </c:pt>
                <c:pt idx="15">
                  <c:v>2</c:v>
                </c:pt>
                <c:pt idx="16">
                  <c:v>5</c:v>
                </c:pt>
                <c:pt idx="17">
                  <c:v>6</c:v>
                </c:pt>
                <c:pt idx="18">
                  <c:v>9</c:v>
                </c:pt>
                <c:pt idx="19">
                  <c:v>2</c:v>
                </c:pt>
                <c:pt idx="20">
                  <c:v>7</c:v>
                </c:pt>
                <c:pt idx="21">
                  <c:v>7</c:v>
                </c:pt>
                <c:pt idx="22">
                  <c:v>6</c:v>
                </c:pt>
                <c:pt idx="23">
                  <c:v>8</c:v>
                </c:pt>
                <c:pt idx="24">
                  <c:v>2</c:v>
                </c:pt>
                <c:pt idx="25">
                  <c:v>1</c:v>
                </c:pt>
                <c:pt idx="26">
                  <c:v>7</c:v>
                </c:pt>
                <c:pt idx="27">
                  <c:v>6</c:v>
                </c:pt>
                <c:pt idx="28">
                  <c:v>5</c:v>
                </c:pt>
                <c:pt idx="29">
                  <c:v>6</c:v>
                </c:pt>
                <c:pt idx="30">
                  <c:v>2</c:v>
                </c:pt>
                <c:pt idx="31">
                  <c:v>5</c:v>
                </c:pt>
                <c:pt idx="32">
                  <c:v>4</c:v>
                </c:pt>
                <c:pt idx="33">
                  <c:v>2</c:v>
                </c:pt>
                <c:pt idx="34">
                  <c:v>2</c:v>
                </c:pt>
                <c:pt idx="35">
                  <c:v>0</c:v>
                </c:pt>
                <c:pt idx="36">
                  <c:v>0</c:v>
                </c:pt>
                <c:pt idx="37">
                  <c:v>0</c:v>
                </c:pt>
                <c:pt idx="38">
                  <c:v>1</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66-2F1A-DC4E-9FFF-8010BCC33F06}"/>
            </c:ext>
          </c:extLst>
        </c:ser>
        <c:dLbls>
          <c:showLegendKey val="0"/>
          <c:showVal val="0"/>
          <c:showCatName val="0"/>
          <c:showSerName val="0"/>
          <c:showPercent val="0"/>
          <c:showBubbleSize val="0"/>
        </c:dLbls>
        <c:gapWidth val="100"/>
        <c:overlap val="-24"/>
        <c:axId val="779787176"/>
        <c:axId val="779788256"/>
      </c:barChart>
      <c:catAx>
        <c:axId val="7797871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FI"/>
          </a:p>
        </c:txPr>
        <c:crossAx val="779788256"/>
        <c:crosses val="autoZero"/>
        <c:auto val="1"/>
        <c:lblAlgn val="ctr"/>
        <c:lblOffset val="100"/>
        <c:noMultiLvlLbl val="0"/>
      </c:catAx>
      <c:valAx>
        <c:axId val="7797882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FI"/>
          </a:p>
        </c:txPr>
        <c:crossAx val="779787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FI"/>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Radio" firstButton="1" fmlaLink="$E$24"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Radio" firstButton="1" fmlaLink="$E$24"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10</xdr:col>
      <xdr:colOff>270996</xdr:colOff>
      <xdr:row>14</xdr:row>
      <xdr:rowOff>2801</xdr:rowOff>
    </xdr:from>
    <xdr:to>
      <xdr:col>18</xdr:col>
      <xdr:colOff>337672</xdr:colOff>
      <xdr:row>33</xdr:row>
      <xdr:rowOff>174812</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350744</xdr:colOff>
      <xdr:row>15</xdr:row>
      <xdr:rowOff>52107</xdr:rowOff>
    </xdr:from>
    <xdr:to>
      <xdr:col>7</xdr:col>
      <xdr:colOff>886254</xdr:colOff>
      <xdr:row>20</xdr:row>
      <xdr:rowOff>80432</xdr:rowOff>
    </xdr:to>
    <xdr:sp macro="[0]!bigmac"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7538944" y="2909607"/>
          <a:ext cx="2313510" cy="1006225"/>
        </a:xfrm>
        <a:prstGeom prst="roundRect">
          <a:avLst/>
        </a:prstGeom>
        <a:ln w="19050">
          <a:solidFill>
            <a:schemeClr val="tx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i-FI" sz="1400" b="0" cap="none" spc="0">
              <a:ln w="0"/>
              <a:solidFill>
                <a:schemeClr val="bg1"/>
              </a:solidFill>
              <a:effectLst>
                <a:outerShdw blurRad="38100" dist="19050" dir="2700000" algn="tl" rotWithShape="0">
                  <a:schemeClr val="dk1">
                    <a:alpha val="40000"/>
                  </a:schemeClr>
                </a:outerShdw>
              </a:effectLst>
            </a:rPr>
            <a:t>Refresh</a:t>
          </a:r>
          <a:r>
            <a:rPr lang="fi-FI" sz="1400" b="0" cap="none" spc="0" baseline="0">
              <a:ln w="0"/>
              <a:solidFill>
                <a:schemeClr val="bg1"/>
              </a:solidFill>
              <a:effectLst>
                <a:outerShdw blurRad="38100" dist="19050" dir="2700000" algn="tl" rotWithShape="0">
                  <a:schemeClr val="dk1">
                    <a:alpha val="40000"/>
                  </a:schemeClr>
                </a:outerShdw>
              </a:effectLst>
            </a:rPr>
            <a:t> break even </a:t>
          </a:r>
        </a:p>
        <a:p>
          <a:pPr algn="ctr"/>
          <a:r>
            <a:rPr lang="fi-FI" sz="1400" b="0" cap="none" spc="0" baseline="0">
              <a:ln w="0"/>
              <a:solidFill>
                <a:schemeClr val="bg1"/>
              </a:solidFill>
              <a:effectLst>
                <a:outerShdw blurRad="38100" dist="19050" dir="2700000" algn="tl" rotWithShape="0">
                  <a:schemeClr val="dk1">
                    <a:alpha val="40000"/>
                  </a:schemeClr>
                </a:outerShdw>
              </a:effectLst>
            </a:rPr>
            <a:t>&amp;</a:t>
          </a:r>
        </a:p>
        <a:p>
          <a:pPr algn="ctr"/>
          <a:r>
            <a:rPr lang="fi-FI" sz="1400" b="0" cap="none" spc="0" baseline="0">
              <a:ln w="0"/>
              <a:solidFill>
                <a:schemeClr val="bg1"/>
              </a:solidFill>
              <a:effectLst>
                <a:outerShdw blurRad="38100" dist="19050" dir="2700000" algn="tl" rotWithShape="0">
                  <a:schemeClr val="dk1">
                    <a:alpha val="40000"/>
                  </a:schemeClr>
                </a:outerShdw>
              </a:effectLst>
            </a:rPr>
            <a:t>Save Input values</a:t>
          </a:r>
          <a:endParaRPr lang="fi-FI" sz="1400" b="0"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xdr:from>
      <xdr:col>8</xdr:col>
      <xdr:colOff>45308</xdr:colOff>
      <xdr:row>15</xdr:row>
      <xdr:rowOff>52107</xdr:rowOff>
    </xdr:from>
    <xdr:to>
      <xdr:col>9</xdr:col>
      <xdr:colOff>1023432</xdr:colOff>
      <xdr:row>20</xdr:row>
      <xdr:rowOff>80432</xdr:rowOff>
    </xdr:to>
    <xdr:sp macro="[0]!Inputs_as_in_assigment"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10345008" y="2909607"/>
          <a:ext cx="2311624" cy="1006225"/>
        </a:xfrm>
        <a:prstGeom prst="roundRect">
          <a:avLst/>
        </a:prstGeom>
        <a:ln w="19050">
          <a:solidFill>
            <a:schemeClr val="tx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i-FI" sz="1400" b="0" cap="none" spc="0">
              <a:ln w="0"/>
              <a:solidFill>
                <a:schemeClr val="bg1"/>
              </a:solidFill>
              <a:effectLst>
                <a:outerShdw blurRad="38100" dist="19050" dir="2700000" algn="tl" rotWithShape="0">
                  <a:schemeClr val="dk1">
                    <a:alpha val="40000"/>
                  </a:schemeClr>
                </a:outerShdw>
              </a:effectLst>
            </a:rPr>
            <a:t>Set same Input values as mentioned in</a:t>
          </a:r>
        </a:p>
        <a:p>
          <a:pPr algn="ctr"/>
          <a:r>
            <a:rPr lang="fi-FI" sz="1400" b="0" cap="none" spc="0">
              <a:ln w="0"/>
              <a:solidFill>
                <a:schemeClr val="bg1"/>
              </a:solidFill>
              <a:effectLst>
                <a:outerShdw blurRad="38100" dist="19050" dir="2700000" algn="tl" rotWithShape="0">
                  <a:schemeClr val="dk1">
                    <a:alpha val="40000"/>
                  </a:schemeClr>
                </a:outerShdw>
              </a:effectLst>
            </a:rPr>
            <a:t> Assignment</a:t>
          </a:r>
        </a:p>
      </xdr:txBody>
    </xdr:sp>
    <xdr:clientData/>
  </xdr:twoCellAnchor>
  <mc:AlternateContent xmlns:mc="http://schemas.openxmlformats.org/markup-compatibility/2006">
    <mc:Choice xmlns:a14="http://schemas.microsoft.com/office/drawing/2010/main" Requires="a14">
      <xdr:twoCellAnchor editAs="oneCell">
        <xdr:from>
          <xdr:col>4</xdr:col>
          <xdr:colOff>508000</xdr:colOff>
          <xdr:row>23</xdr:row>
          <xdr:rowOff>177800</xdr:rowOff>
        </xdr:from>
        <xdr:to>
          <xdr:col>4</xdr:col>
          <xdr:colOff>685800</xdr:colOff>
          <xdr:row>25</xdr:row>
          <xdr:rowOff>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508000</xdr:colOff>
          <xdr:row>24</xdr:row>
          <xdr:rowOff>177800</xdr:rowOff>
        </xdr:from>
        <xdr:to>
          <xdr:col>4</xdr:col>
          <xdr:colOff>711200</xdr:colOff>
          <xdr:row>26</xdr:row>
          <xdr:rowOff>25400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508000</xdr:colOff>
          <xdr:row>25</xdr:row>
          <xdr:rowOff>165100</xdr:rowOff>
        </xdr:from>
        <xdr:to>
          <xdr:col>4</xdr:col>
          <xdr:colOff>762000</xdr:colOff>
          <xdr:row>27</xdr:row>
          <xdr:rowOff>76200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0</xdr:col>
      <xdr:colOff>246529</xdr:colOff>
      <xdr:row>22</xdr:row>
      <xdr:rowOff>156881</xdr:rowOff>
    </xdr:from>
    <xdr:to>
      <xdr:col>0</xdr:col>
      <xdr:colOff>537882</xdr:colOff>
      <xdr:row>24</xdr:row>
      <xdr:rowOff>33616</xdr:rowOff>
    </xdr:to>
    <xdr:sp macro="" textlink="">
      <xdr:nvSpPr>
        <xdr:cNvPr id="6" name="Oval 5">
          <a:extLst>
            <a:ext uri="{FF2B5EF4-FFF2-40B4-BE49-F238E27FC236}">
              <a16:creationId xmlns:a16="http://schemas.microsoft.com/office/drawing/2014/main" id="{8F2877D2-EEDC-03F0-732D-047A07DEAB4B}"/>
            </a:ext>
          </a:extLst>
        </xdr:cNvPr>
        <xdr:cNvSpPr/>
      </xdr:nvSpPr>
      <xdr:spPr>
        <a:xfrm>
          <a:off x="246529" y="4392705"/>
          <a:ext cx="291353" cy="257735"/>
        </a:xfrm>
        <a:prstGeom prst="ellipse">
          <a:avLst/>
        </a:prstGeom>
        <a:solidFill>
          <a:srgbClr val="AFFFE4"/>
        </a:solidFill>
        <a:ln>
          <a:solidFill>
            <a:sysClr val="windowText" lastClr="00000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fi-FI"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36879</xdr:colOff>
      <xdr:row>73</xdr:row>
      <xdr:rowOff>34926</xdr:rowOff>
    </xdr:from>
    <xdr:to>
      <xdr:col>5</xdr:col>
      <xdr:colOff>730250</xdr:colOff>
      <xdr:row>88</xdr:row>
      <xdr:rowOff>61595</xdr:rowOff>
    </xdr:to>
    <xdr:graphicFrame macro="">
      <xdr:nvGraphicFramePr>
        <xdr:cNvPr id="6" name="Диаграмма 1">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76932</xdr:colOff>
      <xdr:row>63</xdr:row>
      <xdr:rowOff>78154</xdr:rowOff>
    </xdr:from>
    <xdr:to>
      <xdr:col>4</xdr:col>
      <xdr:colOff>238857</xdr:colOff>
      <xdr:row>64</xdr:row>
      <xdr:rowOff>154354</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03932" y="12446000"/>
          <a:ext cx="4870694" cy="2715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i-FI" sz="1100" b="1"/>
            <a:t>Sensitivity analysis</a:t>
          </a:r>
        </a:p>
        <a:p>
          <a:endParaRPr lang="fi-FI" sz="1100" b="1"/>
        </a:p>
      </xdr:txBody>
    </xdr:sp>
    <xdr:clientData/>
  </xdr:twoCellAnchor>
  <xdr:twoCellAnchor>
    <xdr:from>
      <xdr:col>1</xdr:col>
      <xdr:colOff>27110</xdr:colOff>
      <xdr:row>89</xdr:row>
      <xdr:rowOff>86214</xdr:rowOff>
    </xdr:from>
    <xdr:to>
      <xdr:col>5</xdr:col>
      <xdr:colOff>669192</xdr:colOff>
      <xdr:row>104</xdr:row>
      <xdr:rowOff>86214</xdr:rowOff>
    </xdr:to>
    <xdr:graphicFrame macro="">
      <xdr:nvGraphicFramePr>
        <xdr:cNvPr id="8" name="Диаграмма 5">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86213</xdr:colOff>
      <xdr:row>105</xdr:row>
      <xdr:rowOff>124069</xdr:rowOff>
    </xdr:from>
    <xdr:to>
      <xdr:col>5</xdr:col>
      <xdr:colOff>515327</xdr:colOff>
      <xdr:row>111</xdr:row>
      <xdr:rowOff>133593</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86213" y="20698069"/>
          <a:ext cx="6534883" cy="11818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i-FI" sz="1100" b="1">
              <a:solidFill>
                <a:schemeClr val="dk1"/>
              </a:solidFill>
              <a:effectLst/>
              <a:latin typeface="+mn-lt"/>
              <a:ea typeface="+mn-ea"/>
              <a:cs typeface="+mn-cs"/>
            </a:rPr>
            <a:t>Inspector, make</a:t>
          </a:r>
          <a:r>
            <a:rPr lang="fi-FI" sz="1100" b="1" baseline="0">
              <a:solidFill>
                <a:schemeClr val="dk1"/>
              </a:solidFill>
              <a:effectLst/>
              <a:latin typeface="+mn-lt"/>
              <a:ea typeface="+mn-ea"/>
              <a:cs typeface="+mn-cs"/>
            </a:rPr>
            <a:t> sure you use defult inputvalues before reading comments.</a:t>
          </a:r>
        </a:p>
        <a:p>
          <a:endParaRPr lang="fi-FI" sz="1100" b="1"/>
        </a:p>
        <a:p>
          <a:r>
            <a:rPr lang="fi-FI" sz="1100"/>
            <a:t>Investment</a:t>
          </a:r>
          <a:r>
            <a:rPr lang="fi-FI" sz="1100" baseline="0"/>
            <a:t> and selling price have the most affect to the profitability.</a:t>
          </a:r>
        </a:p>
        <a:p>
          <a:r>
            <a:rPr lang="fi-FI" sz="1100" baseline="0"/>
            <a:t>NVP will be 976K $, if company can sell products (same amount) with 30% higher price.</a:t>
          </a:r>
        </a:p>
        <a:p>
          <a:r>
            <a:rPr lang="fi-FI" sz="1100" baseline="0"/>
            <a:t>Even if the bottles would cost 50% more than they cost in companys estimation, IRR will fall only ~3%.</a:t>
          </a:r>
        </a:p>
        <a:p>
          <a:endParaRPr lang="fi-FI" sz="1100"/>
        </a:p>
      </xdr:txBody>
    </xdr:sp>
    <xdr:clientData/>
  </xdr:twoCellAnchor>
  <xdr:twoCellAnchor>
    <xdr:from>
      <xdr:col>1</xdr:col>
      <xdr:colOff>41275</xdr:colOff>
      <xdr:row>122</xdr:row>
      <xdr:rowOff>35414</xdr:rowOff>
    </xdr:from>
    <xdr:to>
      <xdr:col>3</xdr:col>
      <xdr:colOff>288193</xdr:colOff>
      <xdr:row>123</xdr:row>
      <xdr:rowOff>183173</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68275" y="23930952"/>
          <a:ext cx="3890841" cy="3431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fi-FI" sz="1100" b="1">
              <a:solidFill>
                <a:schemeClr val="dk1"/>
              </a:solidFill>
              <a:effectLst/>
              <a:latin typeface="+mn-lt"/>
              <a:ea typeface="+mn-ea"/>
              <a:cs typeface="+mn-cs"/>
            </a:rPr>
            <a:t>Scenario</a:t>
          </a:r>
          <a:r>
            <a:rPr lang="fi-FI" sz="1100" b="1" baseline="0">
              <a:solidFill>
                <a:schemeClr val="dk1"/>
              </a:solidFill>
              <a:effectLst/>
              <a:latin typeface="+mn-lt"/>
              <a:ea typeface="+mn-ea"/>
              <a:cs typeface="+mn-cs"/>
            </a:rPr>
            <a:t> analysis</a:t>
          </a:r>
        </a:p>
        <a:p>
          <a:endParaRPr lang="fi-FI" sz="1100" b="1" baseline="0">
            <a:solidFill>
              <a:schemeClr val="dk1"/>
            </a:solidFill>
            <a:effectLst/>
            <a:latin typeface="+mn-lt"/>
            <a:ea typeface="+mn-ea"/>
            <a:cs typeface="+mn-cs"/>
          </a:endParaRPr>
        </a:p>
        <a:p>
          <a:endParaRPr lang="fi-FI" sz="1100" baseline="0"/>
        </a:p>
        <a:p>
          <a:endParaRPr lang="fi-FI" sz="1100"/>
        </a:p>
      </xdr:txBody>
    </xdr:sp>
    <xdr:clientData/>
  </xdr:twoCellAnchor>
  <xdr:twoCellAnchor>
    <xdr:from>
      <xdr:col>1</xdr:col>
      <xdr:colOff>22411</xdr:colOff>
      <xdr:row>179</xdr:row>
      <xdr:rowOff>159179</xdr:rowOff>
    </xdr:from>
    <xdr:to>
      <xdr:col>1</xdr:col>
      <xdr:colOff>1890346</xdr:colOff>
      <xdr:row>181</xdr:row>
      <xdr:rowOff>106670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149411" y="35191641"/>
          <a:ext cx="1867935" cy="338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fi-FI" sz="1100" b="1">
              <a:solidFill>
                <a:schemeClr val="dk1"/>
              </a:solidFill>
              <a:effectLst/>
              <a:latin typeface="+mn-lt"/>
              <a:ea typeface="+mn-ea"/>
              <a:cs typeface="+mn-cs"/>
            </a:rPr>
            <a:t>Monte Carlo Simulation</a:t>
          </a:r>
          <a:endParaRPr lang="fi-FI" sz="1100" b="1" baseline="0">
            <a:solidFill>
              <a:schemeClr val="dk1"/>
            </a:solidFill>
            <a:effectLst/>
            <a:latin typeface="+mn-lt"/>
            <a:ea typeface="+mn-ea"/>
            <a:cs typeface="+mn-cs"/>
          </a:endParaRPr>
        </a:p>
        <a:p>
          <a:endParaRPr lang="fi-FI" sz="1100" b="1" baseline="0">
            <a:solidFill>
              <a:schemeClr val="dk1"/>
            </a:solidFill>
            <a:effectLst/>
            <a:latin typeface="+mn-lt"/>
            <a:ea typeface="+mn-ea"/>
            <a:cs typeface="+mn-cs"/>
          </a:endParaRPr>
        </a:p>
        <a:p>
          <a:endParaRPr lang="fi-FI" sz="1100" baseline="0"/>
        </a:p>
        <a:p>
          <a:endParaRPr lang="fi-FI" sz="1100"/>
        </a:p>
      </xdr:txBody>
    </xdr:sp>
    <xdr:clientData/>
  </xdr:twoCellAnchor>
  <xdr:twoCellAnchor editAs="oneCell">
    <xdr:from>
      <xdr:col>1</xdr:col>
      <xdr:colOff>0</xdr:colOff>
      <xdr:row>2</xdr:row>
      <xdr:rowOff>0</xdr:rowOff>
    </xdr:from>
    <xdr:to>
      <xdr:col>5</xdr:col>
      <xdr:colOff>335756</xdr:colOff>
      <xdr:row>15</xdr:row>
      <xdr:rowOff>95249</xdr:rowOff>
    </xdr:to>
    <xdr:pic>
      <xdr:nvPicPr>
        <xdr:cNvPr id="32" name="Picture 31">
          <a:extLst>
            <a:ext uri="{FF2B5EF4-FFF2-40B4-BE49-F238E27FC236}">
              <a16:creationId xmlns:a16="http://schemas.microsoft.com/office/drawing/2014/main" id="{8AF5DF47-F391-B302-EDA7-D5A8D2A6EAF9}"/>
            </a:ext>
          </a:extLst>
        </xdr:cNvPr>
        <xdr:cNvPicPr>
          <a:picLocks noChangeAspect="1"/>
        </xdr:cNvPicPr>
      </xdr:nvPicPr>
      <xdr:blipFill>
        <a:blip xmlns:r="http://schemas.openxmlformats.org/officeDocument/2006/relationships" r:embed="rId3"/>
        <a:stretch>
          <a:fillRect/>
        </a:stretch>
      </xdr:blipFill>
      <xdr:spPr>
        <a:xfrm>
          <a:off x="117231" y="381000"/>
          <a:ext cx="5567179" cy="2571749"/>
        </a:xfrm>
        <a:prstGeom prst="rect">
          <a:avLst/>
        </a:prstGeom>
      </xdr:spPr>
    </xdr:pic>
    <xdr:clientData/>
  </xdr:twoCellAnchor>
  <xdr:oneCellAnchor>
    <xdr:from>
      <xdr:col>1</xdr:col>
      <xdr:colOff>439615</xdr:colOff>
      <xdr:row>0</xdr:row>
      <xdr:rowOff>95249</xdr:rowOff>
    </xdr:from>
    <xdr:ext cx="585801" cy="264560"/>
    <xdr:sp macro="" textlink="">
      <xdr:nvSpPr>
        <xdr:cNvPr id="33" name="TextBox 32">
          <a:extLst>
            <a:ext uri="{FF2B5EF4-FFF2-40B4-BE49-F238E27FC236}">
              <a16:creationId xmlns:a16="http://schemas.microsoft.com/office/drawing/2014/main" id="{38400776-7B66-5BC2-D2CF-1436B65CDBF8}"/>
            </a:ext>
          </a:extLst>
        </xdr:cNvPr>
        <xdr:cNvSpPr txBox="1"/>
      </xdr:nvSpPr>
      <xdr:spPr>
        <a:xfrm>
          <a:off x="556846" y="95249"/>
          <a:ext cx="5858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i-FI" sz="1100" b="1"/>
            <a:t>Report</a:t>
          </a:r>
        </a:p>
      </xdr:txBody>
    </xdr:sp>
    <xdr:clientData/>
  </xdr:oneCellAnchor>
  <xdr:twoCellAnchor editAs="oneCell">
    <xdr:from>
      <xdr:col>1</xdr:col>
      <xdr:colOff>0</xdr:colOff>
      <xdr:row>189</xdr:row>
      <xdr:rowOff>50800</xdr:rowOff>
    </xdr:from>
    <xdr:to>
      <xdr:col>5</xdr:col>
      <xdr:colOff>2931</xdr:colOff>
      <xdr:row>206</xdr:row>
      <xdr:rowOff>51777</xdr:rowOff>
    </xdr:to>
    <xdr:pic>
      <xdr:nvPicPr>
        <xdr:cNvPr id="76" name="MC_Chart2_Picture">
          <a:extLst>
            <a:ext uri="{FF2B5EF4-FFF2-40B4-BE49-F238E27FC236}">
              <a16:creationId xmlns:a16="http://schemas.microsoft.com/office/drawing/2014/main" id="{668D2369-1926-9E5B-2D46-4376FBF9BEF7}"/>
            </a:ext>
          </a:extLst>
        </xdr:cNvPr>
        <xdr:cNvPicPr>
          <a:picLocks noChangeAspect="1"/>
        </xdr:cNvPicPr>
      </xdr:nvPicPr>
      <xdr:blipFill>
        <a:blip xmlns:r="http://schemas.openxmlformats.org/officeDocument/2006/relationships" r:embed="rId4"/>
        <a:stretch>
          <a:fillRect/>
        </a:stretch>
      </xdr:blipFill>
      <xdr:spPr>
        <a:xfrm>
          <a:off x="127000" y="36207700"/>
          <a:ext cx="5984631" cy="3239477"/>
        </a:xfrm>
        <a:prstGeom prst="rect">
          <a:avLst/>
        </a:prstGeom>
      </xdr:spPr>
    </xdr:pic>
    <xdr:clientData/>
  </xdr:twoCellAnchor>
  <xdr:twoCellAnchor>
    <xdr:from>
      <xdr:col>6</xdr:col>
      <xdr:colOff>1016000</xdr:colOff>
      <xdr:row>12</xdr:row>
      <xdr:rowOff>39077</xdr:rowOff>
    </xdr:from>
    <xdr:to>
      <xdr:col>9</xdr:col>
      <xdr:colOff>625230</xdr:colOff>
      <xdr:row>16</xdr:row>
      <xdr:rowOff>175846</xdr:rowOff>
    </xdr:to>
    <xdr:sp macro="[0]!Save_PDF_To_Workbook_Folder" textlink="">
      <xdr:nvSpPr>
        <xdr:cNvPr id="77" name="Rounded Rectangle 76">
          <a:extLst>
            <a:ext uri="{FF2B5EF4-FFF2-40B4-BE49-F238E27FC236}">
              <a16:creationId xmlns:a16="http://schemas.microsoft.com/office/drawing/2014/main" id="{6AF48F22-FF3D-2FB5-7F29-C5C490049391}"/>
            </a:ext>
          </a:extLst>
        </xdr:cNvPr>
        <xdr:cNvSpPr/>
      </xdr:nvSpPr>
      <xdr:spPr>
        <a:xfrm>
          <a:off x="8049846" y="2383692"/>
          <a:ext cx="2383692" cy="928077"/>
        </a:xfrm>
        <a:prstGeom prst="roundRect">
          <a:avLst/>
        </a:prstGeom>
        <a:ln w="28575">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200" b="1" i="0" u="none" strike="noStrike">
              <a:solidFill>
                <a:schemeClr val="dk1"/>
              </a:solidFill>
              <a:effectLst/>
              <a:latin typeface="+mn-lt"/>
              <a:ea typeface="+mn-ea"/>
              <a:cs typeface="+mn-cs"/>
            </a:rPr>
            <a:t>Save_PDF_To_Workbook_Folder</a:t>
          </a:r>
          <a:br>
            <a:rPr lang="en-GB" sz="1200" b="1" i="0" u="none" strike="noStrike">
              <a:solidFill>
                <a:schemeClr val="dk1"/>
              </a:solidFill>
              <a:effectLst/>
              <a:latin typeface="+mn-lt"/>
              <a:ea typeface="+mn-ea"/>
              <a:cs typeface="+mn-cs"/>
            </a:rPr>
          </a:br>
          <a:r>
            <a:rPr lang="en-GB" sz="1200" b="1" i="0" u="none" strike="noStrike">
              <a:solidFill>
                <a:schemeClr val="dk1"/>
              </a:solidFill>
              <a:effectLst/>
              <a:latin typeface="+mn-lt"/>
              <a:ea typeface="+mn-ea"/>
              <a:cs typeface="+mn-cs"/>
            </a:rPr>
            <a:t>Macro</a:t>
          </a:r>
        </a:p>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30480</xdr:colOff>
      <xdr:row>10</xdr:row>
      <xdr:rowOff>110490</xdr:rowOff>
    </xdr:from>
    <xdr:to>
      <xdr:col>13</xdr:col>
      <xdr:colOff>7620</xdr:colOff>
      <xdr:row>25</xdr:row>
      <xdr:rowOff>137160</xdr:rowOff>
    </xdr:to>
    <xdr:graphicFrame macro="">
      <xdr:nvGraphicFramePr>
        <xdr:cNvPr id="2" name="Диаграмма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152400</xdr:colOff>
          <xdr:row>10</xdr:row>
          <xdr:rowOff>101600</xdr:rowOff>
        </xdr:from>
        <xdr:to>
          <xdr:col>0</xdr:col>
          <xdr:colOff>1384300</xdr:colOff>
          <xdr:row>12</xdr:row>
          <xdr:rowOff>139700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pitchFamily="2" charset="0"/>
                  <a:cs typeface="Calibri" pitchFamily="2" charset="0"/>
                </a:rPr>
                <a:t>Renew</a:t>
              </a:r>
            </a:p>
          </xdr:txBody>
        </xdr:sp>
        <xdr:clientData fPrintsWithSheet="0"/>
      </xdr:twoCellAnchor>
    </mc:Choice>
    <mc:Fallback/>
  </mc:AlternateContent>
  <xdr:twoCellAnchor>
    <xdr:from>
      <xdr:col>13</xdr:col>
      <xdr:colOff>586740</xdr:colOff>
      <xdr:row>10</xdr:row>
      <xdr:rowOff>114300</xdr:rowOff>
    </xdr:from>
    <xdr:to>
      <xdr:col>25</xdr:col>
      <xdr:colOff>472440</xdr:colOff>
      <xdr:row>25</xdr:row>
      <xdr:rowOff>114300</xdr:rowOff>
    </xdr:to>
    <xdr:graphicFrame macro="">
      <xdr:nvGraphicFramePr>
        <xdr:cNvPr id="3" name="Диаграмма 5">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19049</xdr:colOff>
      <xdr:row>26</xdr:row>
      <xdr:rowOff>0</xdr:rowOff>
    </xdr:from>
    <xdr:to>
      <xdr:col>10</xdr:col>
      <xdr:colOff>200024</xdr:colOff>
      <xdr:row>32</xdr:row>
      <xdr:rowOff>133350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333624" y="4953000"/>
          <a:ext cx="5381625" cy="1276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i-FI" sz="1100" b="1"/>
            <a:t>Inspector, make</a:t>
          </a:r>
          <a:r>
            <a:rPr lang="fi-FI" sz="1100" b="1" baseline="0"/>
            <a:t> sure you use defult inputvalues before reading comments</a:t>
          </a:r>
        </a:p>
        <a:p>
          <a:endParaRPr lang="fi-FI" sz="1100"/>
        </a:p>
        <a:p>
          <a:r>
            <a:rPr lang="fi-FI" sz="1100"/>
            <a:t>Investment</a:t>
          </a:r>
          <a:r>
            <a:rPr lang="fi-FI" sz="1100" baseline="0"/>
            <a:t> and selling price have the most affect to the profitability.</a:t>
          </a:r>
        </a:p>
        <a:p>
          <a:r>
            <a:rPr lang="fi-FI" sz="1100" baseline="0"/>
            <a:t>NVP will be 976K $, if company can sell products (same amount) with 30% higher price.</a:t>
          </a:r>
        </a:p>
        <a:p>
          <a:r>
            <a:rPr lang="fi-FI" sz="1100" baseline="0"/>
            <a:t>Even if the bottles would cost 50% more than they cost in companys estimation, IRR will fall only ~3%.</a:t>
          </a:r>
        </a:p>
        <a:p>
          <a:endParaRPr lang="fi-FI"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331304</xdr:colOff>
      <xdr:row>7</xdr:row>
      <xdr:rowOff>177662</xdr:rowOff>
    </xdr:from>
    <xdr:to>
      <xdr:col>5</xdr:col>
      <xdr:colOff>451402</xdr:colOff>
      <xdr:row>11</xdr:row>
      <xdr:rowOff>15737</xdr:rowOff>
    </xdr:to>
    <xdr:sp macro="[0]!loop_mac"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865782" y="1527727"/>
          <a:ext cx="1238250" cy="600075"/>
        </a:xfrm>
        <a:prstGeom prst="roundRect">
          <a:avLst/>
        </a:prstGeom>
        <a:solidFill>
          <a:schemeClr val="accent6">
            <a:lumMod val="60000"/>
            <a:lumOff val="40000"/>
          </a:schemeClr>
        </a:solidFill>
        <a:ln w="19050">
          <a:solidFill>
            <a:sysClr val="windowText" lastClr="00000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i-FI" sz="1400" b="1"/>
            <a:t>Monte</a:t>
          </a:r>
          <a:r>
            <a:rPr lang="fi-FI" sz="1400" b="1" baseline="0"/>
            <a:t> Carlo</a:t>
          </a:r>
        </a:p>
        <a:p>
          <a:pPr algn="ctr"/>
          <a:r>
            <a:rPr lang="fi-FI" sz="1100" b="1" baseline="0"/>
            <a:t>Macro</a:t>
          </a:r>
          <a:endParaRPr lang="fi-FI" sz="1000" b="1"/>
        </a:p>
      </xdr:txBody>
    </xdr:sp>
    <xdr:clientData/>
  </xdr:twoCellAnchor>
  <xdr:twoCellAnchor>
    <xdr:from>
      <xdr:col>6</xdr:col>
      <xdr:colOff>276086</xdr:colOff>
      <xdr:row>1</xdr:row>
      <xdr:rowOff>11043</xdr:rowOff>
    </xdr:from>
    <xdr:to>
      <xdr:col>15</xdr:col>
      <xdr:colOff>180836</xdr:colOff>
      <xdr:row>18</xdr:row>
      <xdr:rowOff>105051</xdr:rowOff>
    </xdr:to>
    <xdr:graphicFrame macro="">
      <xdr:nvGraphicFramePr>
        <xdr:cNvPr id="4" name="Chart 2">
          <a:extLst>
            <a:ext uri="{FF2B5EF4-FFF2-40B4-BE49-F238E27FC236}">
              <a16:creationId xmlns:a16="http://schemas.microsoft.com/office/drawing/2014/main" id="{6A2EDEDD-A6C2-0345-BD09-34EA10B157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304800</xdr:colOff>
      <xdr:row>2</xdr:row>
      <xdr:rowOff>68581</xdr:rowOff>
    </xdr:from>
    <xdr:to>
      <xdr:col>0</xdr:col>
      <xdr:colOff>504825</xdr:colOff>
      <xdr:row>2</xdr:row>
      <xdr:rowOff>114300</xdr:rowOff>
    </xdr:to>
    <xdr:sp macro="" textlink="">
      <xdr:nvSpPr>
        <xdr:cNvPr id="3" name="Arrow: Right 2">
          <a:extLst>
            <a:ext uri="{FF2B5EF4-FFF2-40B4-BE49-F238E27FC236}">
              <a16:creationId xmlns:a16="http://schemas.microsoft.com/office/drawing/2014/main" id="{00000000-0008-0000-0600-000003000000}"/>
            </a:ext>
          </a:extLst>
        </xdr:cNvPr>
        <xdr:cNvSpPr/>
      </xdr:nvSpPr>
      <xdr:spPr>
        <a:xfrm>
          <a:off x="304800" y="430531"/>
          <a:ext cx="200025" cy="4571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i-FI" sz="1100"/>
        </a:p>
      </xdr:txBody>
    </xdr:sp>
    <xdr:clientData/>
  </xdr:twoCellAnchor>
  <xdr:twoCellAnchor>
    <xdr:from>
      <xdr:col>0</xdr:col>
      <xdr:colOff>314325</xdr:colOff>
      <xdr:row>7</xdr:row>
      <xdr:rowOff>68581</xdr:rowOff>
    </xdr:from>
    <xdr:to>
      <xdr:col>0</xdr:col>
      <xdr:colOff>514350</xdr:colOff>
      <xdr:row>7</xdr:row>
      <xdr:rowOff>114300</xdr:rowOff>
    </xdr:to>
    <xdr:sp macro="" textlink="">
      <xdr:nvSpPr>
        <xdr:cNvPr id="4" name="Arrow: Right 3">
          <a:extLst>
            <a:ext uri="{FF2B5EF4-FFF2-40B4-BE49-F238E27FC236}">
              <a16:creationId xmlns:a16="http://schemas.microsoft.com/office/drawing/2014/main" id="{00000000-0008-0000-0600-000004000000}"/>
            </a:ext>
          </a:extLst>
        </xdr:cNvPr>
        <xdr:cNvSpPr/>
      </xdr:nvSpPr>
      <xdr:spPr>
        <a:xfrm>
          <a:off x="314325" y="1383031"/>
          <a:ext cx="200025" cy="4571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i-FI" sz="1100"/>
        </a:p>
      </xdr:txBody>
    </xdr:sp>
    <xdr:clientData/>
  </xdr:twoCellAnchor>
  <xdr:twoCellAnchor>
    <xdr:from>
      <xdr:col>0</xdr:col>
      <xdr:colOff>314325</xdr:colOff>
      <xdr:row>9</xdr:row>
      <xdr:rowOff>78106</xdr:rowOff>
    </xdr:from>
    <xdr:to>
      <xdr:col>0</xdr:col>
      <xdr:colOff>514350</xdr:colOff>
      <xdr:row>9</xdr:row>
      <xdr:rowOff>123825</xdr:rowOff>
    </xdr:to>
    <xdr:sp macro="" textlink="">
      <xdr:nvSpPr>
        <xdr:cNvPr id="5" name="Arrow: Right 4">
          <a:extLst>
            <a:ext uri="{FF2B5EF4-FFF2-40B4-BE49-F238E27FC236}">
              <a16:creationId xmlns:a16="http://schemas.microsoft.com/office/drawing/2014/main" id="{00000000-0008-0000-0600-000005000000}"/>
            </a:ext>
          </a:extLst>
        </xdr:cNvPr>
        <xdr:cNvSpPr/>
      </xdr:nvSpPr>
      <xdr:spPr>
        <a:xfrm>
          <a:off x="314325" y="1773556"/>
          <a:ext cx="200025" cy="4571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i-FI" sz="1100"/>
        </a:p>
      </xdr:txBody>
    </xdr:sp>
    <xdr:clientData/>
  </xdr:twoCellAnchor>
  <xdr:twoCellAnchor>
    <xdr:from>
      <xdr:col>6</xdr:col>
      <xdr:colOff>350744</xdr:colOff>
      <xdr:row>15</xdr:row>
      <xdr:rowOff>52107</xdr:rowOff>
    </xdr:from>
    <xdr:to>
      <xdr:col>9</xdr:col>
      <xdr:colOff>1023432</xdr:colOff>
      <xdr:row>20</xdr:row>
      <xdr:rowOff>80432</xdr:rowOff>
    </xdr:to>
    <xdr:grpSp>
      <xdr:nvGrpSpPr>
        <xdr:cNvPr id="6" name="Group 5">
          <a:extLst>
            <a:ext uri="{FF2B5EF4-FFF2-40B4-BE49-F238E27FC236}">
              <a16:creationId xmlns:a16="http://schemas.microsoft.com/office/drawing/2014/main" id="{00000000-0008-0000-0600-000006000000}"/>
            </a:ext>
          </a:extLst>
        </xdr:cNvPr>
        <xdr:cNvGrpSpPr/>
      </xdr:nvGrpSpPr>
      <xdr:grpSpPr>
        <a:xfrm>
          <a:off x="7537450" y="3503519"/>
          <a:ext cx="5110217" cy="1014442"/>
          <a:chOff x="8143876" y="5800723"/>
          <a:chExt cx="3981224" cy="2270625"/>
        </a:xfrm>
      </xdr:grpSpPr>
      <xdr:sp macro="[0]!bigmac" textlink="">
        <xdr:nvSpPr>
          <xdr:cNvPr id="7" name="Rectangle: Rounded Corners 6">
            <a:extLst>
              <a:ext uri="{FF2B5EF4-FFF2-40B4-BE49-F238E27FC236}">
                <a16:creationId xmlns:a16="http://schemas.microsoft.com/office/drawing/2014/main" id="{00000000-0008-0000-0600-000007000000}"/>
              </a:ext>
            </a:extLst>
          </xdr:cNvPr>
          <xdr:cNvSpPr/>
        </xdr:nvSpPr>
        <xdr:spPr>
          <a:xfrm>
            <a:off x="8143876" y="5800723"/>
            <a:ext cx="1800000" cy="2270625"/>
          </a:xfrm>
          <a:prstGeom prst="roundRect">
            <a:avLst/>
          </a:prstGeom>
          <a:ln w="19050">
            <a:solidFill>
              <a:schemeClr val="tx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i-FI" sz="1400" b="0" cap="none" spc="0">
                <a:ln w="0"/>
                <a:solidFill>
                  <a:schemeClr val="bg1"/>
                </a:solidFill>
                <a:effectLst>
                  <a:outerShdw blurRad="38100" dist="19050" dir="2700000" algn="tl" rotWithShape="0">
                    <a:schemeClr val="dk1">
                      <a:alpha val="40000"/>
                    </a:schemeClr>
                  </a:outerShdw>
                </a:effectLst>
              </a:rPr>
              <a:t>Refresh</a:t>
            </a:r>
            <a:r>
              <a:rPr lang="fi-FI" sz="1400" b="0" cap="none" spc="0" baseline="0">
                <a:ln w="0"/>
                <a:solidFill>
                  <a:schemeClr val="bg1"/>
                </a:solidFill>
                <a:effectLst>
                  <a:outerShdw blurRad="38100" dist="19050" dir="2700000" algn="tl" rotWithShape="0">
                    <a:schemeClr val="dk1">
                      <a:alpha val="40000"/>
                    </a:schemeClr>
                  </a:outerShdw>
                </a:effectLst>
              </a:rPr>
              <a:t> break even </a:t>
            </a:r>
          </a:p>
          <a:p>
            <a:pPr algn="ctr"/>
            <a:r>
              <a:rPr lang="fi-FI" sz="1400" b="0" cap="none" spc="0" baseline="0">
                <a:ln w="0"/>
                <a:solidFill>
                  <a:schemeClr val="bg1"/>
                </a:solidFill>
                <a:effectLst>
                  <a:outerShdw blurRad="38100" dist="19050" dir="2700000" algn="tl" rotWithShape="0">
                    <a:schemeClr val="dk1">
                      <a:alpha val="40000"/>
                    </a:schemeClr>
                  </a:outerShdw>
                </a:effectLst>
              </a:rPr>
              <a:t>&amp;</a:t>
            </a:r>
          </a:p>
          <a:p>
            <a:pPr algn="ctr"/>
            <a:r>
              <a:rPr lang="fi-FI" sz="1400" b="0" cap="none" spc="0" baseline="0">
                <a:ln w="0"/>
                <a:solidFill>
                  <a:schemeClr val="bg1"/>
                </a:solidFill>
                <a:effectLst>
                  <a:outerShdw blurRad="38100" dist="19050" dir="2700000" algn="tl" rotWithShape="0">
                    <a:schemeClr val="dk1">
                      <a:alpha val="40000"/>
                    </a:schemeClr>
                  </a:outerShdw>
                </a:effectLst>
              </a:rPr>
              <a:t>Save Input values</a:t>
            </a:r>
            <a:endParaRPr lang="fi-FI" sz="1400" b="0" cap="none" spc="0">
              <a:ln w="0"/>
              <a:solidFill>
                <a:schemeClr val="bg1"/>
              </a:solidFill>
              <a:effectLst>
                <a:outerShdw blurRad="38100" dist="19050" dir="2700000" algn="tl" rotWithShape="0">
                  <a:schemeClr val="dk1">
                    <a:alpha val="40000"/>
                  </a:schemeClr>
                </a:outerShdw>
              </a:effectLst>
            </a:endParaRPr>
          </a:p>
        </xdr:txBody>
      </xdr:sp>
      <xdr:sp macro="[0]!Inputs_as_in_assigment" textlink="">
        <xdr:nvSpPr>
          <xdr:cNvPr id="8" name="Rectangle: Rounded Corners 7">
            <a:extLst>
              <a:ext uri="{FF2B5EF4-FFF2-40B4-BE49-F238E27FC236}">
                <a16:creationId xmlns:a16="http://schemas.microsoft.com/office/drawing/2014/main" id="{00000000-0008-0000-0600-000008000000}"/>
              </a:ext>
            </a:extLst>
          </xdr:cNvPr>
          <xdr:cNvSpPr/>
        </xdr:nvSpPr>
        <xdr:spPr>
          <a:xfrm>
            <a:off x="10325100" y="5800723"/>
            <a:ext cx="1800000" cy="2270625"/>
          </a:xfrm>
          <a:prstGeom prst="roundRect">
            <a:avLst/>
          </a:prstGeom>
          <a:ln w="19050">
            <a:solidFill>
              <a:schemeClr val="tx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fi-FI" sz="1400" b="0" cap="none" spc="0">
                <a:ln w="0"/>
                <a:solidFill>
                  <a:schemeClr val="bg1"/>
                </a:solidFill>
                <a:effectLst>
                  <a:outerShdw blurRad="38100" dist="19050" dir="2700000" algn="tl" rotWithShape="0">
                    <a:schemeClr val="dk1">
                      <a:alpha val="40000"/>
                    </a:schemeClr>
                  </a:outerShdw>
                </a:effectLst>
              </a:rPr>
              <a:t>Set same Input values as mentioned in Assignment</a:t>
            </a:r>
          </a:p>
        </xdr:txBody>
      </xdr:sp>
    </xdr:grpSp>
    <xdr:clientData/>
  </xdr:twoCellAnchor>
  <mc:AlternateContent xmlns:mc="http://schemas.openxmlformats.org/markup-compatibility/2006">
    <mc:Choice xmlns:a14="http://schemas.microsoft.com/office/drawing/2010/main" Requires="a14">
      <xdr:twoCellAnchor editAs="oneCell">
        <xdr:from>
          <xdr:col>4</xdr:col>
          <xdr:colOff>508000</xdr:colOff>
          <xdr:row>23</xdr:row>
          <xdr:rowOff>177800</xdr:rowOff>
        </xdr:from>
        <xdr:to>
          <xdr:col>4</xdr:col>
          <xdr:colOff>685800</xdr:colOff>
          <xdr:row>25</xdr:row>
          <xdr:rowOff>0</xdr:rowOff>
        </xdr:to>
        <xdr:sp macro="" textlink="">
          <xdr:nvSpPr>
            <xdr:cNvPr id="13313" name="Option 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508000</xdr:colOff>
          <xdr:row>24</xdr:row>
          <xdr:rowOff>177800</xdr:rowOff>
        </xdr:from>
        <xdr:to>
          <xdr:col>4</xdr:col>
          <xdr:colOff>711200</xdr:colOff>
          <xdr:row>26</xdr:row>
          <xdr:rowOff>25400</xdr:rowOff>
        </xdr:to>
        <xdr:sp macro="" textlink="">
          <xdr:nvSpPr>
            <xdr:cNvPr id="13314" name="Option Button 2" hidden="1">
              <a:extLst>
                <a:ext uri="{63B3BB69-23CF-44E3-9099-C40C66FF867C}">
                  <a14:compatExt spid="_x0000_s13314"/>
                </a:ext>
                <a:ext uri="{FF2B5EF4-FFF2-40B4-BE49-F238E27FC236}">
                  <a16:creationId xmlns:a16="http://schemas.microsoft.com/office/drawing/2014/main" id="{00000000-0008-0000-0700-0000023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508000</xdr:colOff>
          <xdr:row>25</xdr:row>
          <xdr:rowOff>165100</xdr:rowOff>
        </xdr:from>
        <xdr:to>
          <xdr:col>4</xdr:col>
          <xdr:colOff>762000</xdr:colOff>
          <xdr:row>27</xdr:row>
          <xdr:rowOff>63500</xdr:rowOff>
        </xdr:to>
        <xdr:sp macro="" textlink="">
          <xdr:nvSpPr>
            <xdr:cNvPr id="13315" name="Option Button 3"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8</xdr:col>
      <xdr:colOff>123265</xdr:colOff>
      <xdr:row>32</xdr:row>
      <xdr:rowOff>78441</xdr:rowOff>
    </xdr:from>
    <xdr:to>
      <xdr:col>8</xdr:col>
      <xdr:colOff>323290</xdr:colOff>
      <xdr:row>32</xdr:row>
      <xdr:rowOff>124160</xdr:rowOff>
    </xdr:to>
    <xdr:sp macro="" textlink="">
      <xdr:nvSpPr>
        <xdr:cNvPr id="9" name="Arrow: Right 8">
          <a:extLst>
            <a:ext uri="{FF2B5EF4-FFF2-40B4-BE49-F238E27FC236}">
              <a16:creationId xmlns:a16="http://schemas.microsoft.com/office/drawing/2014/main" id="{00000000-0008-0000-0600-000009000000}"/>
            </a:ext>
          </a:extLst>
        </xdr:cNvPr>
        <xdr:cNvSpPr/>
      </xdr:nvSpPr>
      <xdr:spPr>
        <a:xfrm rot="10800000">
          <a:off x="9162490" y="5869641"/>
          <a:ext cx="200025" cy="4571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i-FI" sz="1100"/>
        </a:p>
      </xdr:txBody>
    </xdr:sp>
    <xdr:clientData/>
  </xdr:twoCellAnchor>
  <xdr:twoCellAnchor>
    <xdr:from>
      <xdr:col>8</xdr:col>
      <xdr:colOff>123265</xdr:colOff>
      <xdr:row>33</xdr:row>
      <xdr:rowOff>107577</xdr:rowOff>
    </xdr:from>
    <xdr:to>
      <xdr:col>8</xdr:col>
      <xdr:colOff>323290</xdr:colOff>
      <xdr:row>33</xdr:row>
      <xdr:rowOff>153296</xdr:rowOff>
    </xdr:to>
    <xdr:sp macro="" textlink="">
      <xdr:nvSpPr>
        <xdr:cNvPr id="10" name="Arrow: Right 9">
          <a:extLst>
            <a:ext uri="{FF2B5EF4-FFF2-40B4-BE49-F238E27FC236}">
              <a16:creationId xmlns:a16="http://schemas.microsoft.com/office/drawing/2014/main" id="{00000000-0008-0000-0600-00000A000000}"/>
            </a:ext>
          </a:extLst>
        </xdr:cNvPr>
        <xdr:cNvSpPr/>
      </xdr:nvSpPr>
      <xdr:spPr>
        <a:xfrm rot="10800000">
          <a:off x="9162490" y="6146427"/>
          <a:ext cx="200025" cy="4571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i-FI" sz="1100"/>
        </a:p>
      </xdr:txBody>
    </xdr:sp>
    <xdr:clientData/>
  </xdr:twoCellAnchor>
  <xdr:twoCellAnchor>
    <xdr:from>
      <xdr:col>8</xdr:col>
      <xdr:colOff>123265</xdr:colOff>
      <xdr:row>34</xdr:row>
      <xdr:rowOff>136711</xdr:rowOff>
    </xdr:from>
    <xdr:to>
      <xdr:col>8</xdr:col>
      <xdr:colOff>323290</xdr:colOff>
      <xdr:row>34</xdr:row>
      <xdr:rowOff>182430</xdr:rowOff>
    </xdr:to>
    <xdr:sp macro="" textlink="">
      <xdr:nvSpPr>
        <xdr:cNvPr id="11" name="Arrow: Right 10">
          <a:extLst>
            <a:ext uri="{FF2B5EF4-FFF2-40B4-BE49-F238E27FC236}">
              <a16:creationId xmlns:a16="http://schemas.microsoft.com/office/drawing/2014/main" id="{00000000-0008-0000-0600-00000B000000}"/>
            </a:ext>
          </a:extLst>
        </xdr:cNvPr>
        <xdr:cNvSpPr/>
      </xdr:nvSpPr>
      <xdr:spPr>
        <a:xfrm rot="10800000">
          <a:off x="9162490" y="6423211"/>
          <a:ext cx="200025" cy="45719"/>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i-FI" sz="1100"/>
        </a:p>
      </xdr:txBody>
    </xdr:sp>
    <xdr:clientData/>
  </xdr:twoCellAnchor>
  <xdr:twoCellAnchor editAs="oneCell">
    <xdr:from>
      <xdr:col>10</xdr:col>
      <xdr:colOff>339912</xdr:colOff>
      <xdr:row>13</xdr:row>
      <xdr:rowOff>149412</xdr:rowOff>
    </xdr:from>
    <xdr:to>
      <xdr:col>22</xdr:col>
      <xdr:colOff>499784</xdr:colOff>
      <xdr:row>53</xdr:row>
      <xdr:rowOff>40342</xdr:rowOff>
    </xdr:to>
    <xdr:pic>
      <xdr:nvPicPr>
        <xdr:cNvPr id="13" name="Graphic 12" descr="No sign with solid fill">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293912" y="3182471"/>
          <a:ext cx="12336931" cy="755575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eerolindholm/Documents/School/Investment%20and%20Business%20Analysis%20with%20Excel/HW5_final.xlsm" TargetMode="External"/><Relationship Id="rId1" Type="http://schemas.openxmlformats.org/officeDocument/2006/relationships/externalLinkPath" Target="/Users/eerolindholm/Documents/School/Investment%20and%20Business%20Analysis%20with%20Excel/HW5_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amp; Calculations"/>
      <sheetName val="Report (print)"/>
      <sheetName val="sensitivity"/>
      <sheetName val="MC_sim"/>
      <sheetName val="MC_data"/>
      <sheetName val="MC_hist"/>
      <sheetName val="Calculations"/>
    </sheetNames>
    <sheetDataSet>
      <sheetData sheetId="0" refreshError="1"/>
      <sheetData sheetId="1" refreshError="1"/>
      <sheetData sheetId="2" refreshError="1"/>
      <sheetData sheetId="3" refreshError="1"/>
      <sheetData sheetId="4" refreshError="1"/>
      <sheetData sheetId="5">
        <row r="2">
          <cell r="F2">
            <v>-10000000</v>
          </cell>
          <cell r="H2">
            <v>0</v>
          </cell>
        </row>
        <row r="3">
          <cell r="F3">
            <v>-9400000</v>
          </cell>
          <cell r="H3">
            <v>0</v>
          </cell>
        </row>
        <row r="4">
          <cell r="F4">
            <v>-8800000</v>
          </cell>
          <cell r="H4">
            <v>0</v>
          </cell>
        </row>
        <row r="5">
          <cell r="F5">
            <v>-8200000</v>
          </cell>
          <cell r="H5">
            <v>0</v>
          </cell>
        </row>
        <row r="6">
          <cell r="F6">
            <v>-7600000</v>
          </cell>
          <cell r="H6">
            <v>0</v>
          </cell>
        </row>
        <row r="7">
          <cell r="F7">
            <v>-7000000</v>
          </cell>
          <cell r="H7">
            <v>0</v>
          </cell>
        </row>
        <row r="8">
          <cell r="F8">
            <v>-6400000</v>
          </cell>
          <cell r="H8">
            <v>0</v>
          </cell>
        </row>
        <row r="9">
          <cell r="F9">
            <v>-5800000</v>
          </cell>
          <cell r="H9">
            <v>0</v>
          </cell>
        </row>
        <row r="10">
          <cell r="F10">
            <v>-5200000</v>
          </cell>
          <cell r="H10">
            <v>0</v>
          </cell>
        </row>
        <row r="11">
          <cell r="F11">
            <v>-4600000</v>
          </cell>
          <cell r="H11">
            <v>0.01</v>
          </cell>
        </row>
        <row r="12">
          <cell r="F12">
            <v>-4000000</v>
          </cell>
          <cell r="H12">
            <v>0</v>
          </cell>
        </row>
        <row r="13">
          <cell r="F13">
            <v>-3400000</v>
          </cell>
          <cell r="H13">
            <v>0.01</v>
          </cell>
        </row>
        <row r="14">
          <cell r="F14">
            <v>-2800000</v>
          </cell>
          <cell r="H14">
            <v>0.01</v>
          </cell>
        </row>
        <row r="15">
          <cell r="F15">
            <v>-2200000</v>
          </cell>
          <cell r="H15">
            <v>0.02</v>
          </cell>
        </row>
        <row r="16">
          <cell r="F16">
            <v>-1600000</v>
          </cell>
          <cell r="H16">
            <v>0.01</v>
          </cell>
        </row>
        <row r="17">
          <cell r="F17">
            <v>-1000000</v>
          </cell>
          <cell r="H17">
            <v>0.03</v>
          </cell>
        </row>
        <row r="18">
          <cell r="F18">
            <v>-400000</v>
          </cell>
          <cell r="H18">
            <v>0.06</v>
          </cell>
        </row>
        <row r="19">
          <cell r="F19">
            <v>200000</v>
          </cell>
          <cell r="H19">
            <v>0.04</v>
          </cell>
        </row>
        <row r="20">
          <cell r="F20">
            <v>800000</v>
          </cell>
          <cell r="H20">
            <v>0.04</v>
          </cell>
        </row>
        <row r="21">
          <cell r="F21">
            <v>1400000</v>
          </cell>
          <cell r="H21">
            <v>0.09</v>
          </cell>
        </row>
        <row r="22">
          <cell r="F22">
            <v>2000000</v>
          </cell>
          <cell r="H22">
            <v>0.04</v>
          </cell>
        </row>
        <row r="23">
          <cell r="F23">
            <v>2600000</v>
          </cell>
          <cell r="H23">
            <v>0.08</v>
          </cell>
        </row>
        <row r="24">
          <cell r="F24">
            <v>3200000</v>
          </cell>
          <cell r="H24">
            <v>0.05</v>
          </cell>
        </row>
        <row r="25">
          <cell r="F25">
            <v>3800000</v>
          </cell>
          <cell r="H25">
            <v>0.08</v>
          </cell>
        </row>
        <row r="26">
          <cell r="F26">
            <v>4400000</v>
          </cell>
          <cell r="H26">
            <v>0.03</v>
          </cell>
        </row>
        <row r="27">
          <cell r="F27">
            <v>5000000</v>
          </cell>
          <cell r="H27">
            <v>0.01</v>
          </cell>
        </row>
        <row r="28">
          <cell r="F28">
            <v>5600000</v>
          </cell>
          <cell r="H28">
            <v>7.0000000000000007E-2</v>
          </cell>
        </row>
        <row r="29">
          <cell r="F29">
            <v>6200000</v>
          </cell>
          <cell r="H29">
            <v>0.06</v>
          </cell>
        </row>
        <row r="30">
          <cell r="F30">
            <v>6800000</v>
          </cell>
          <cell r="H30">
            <v>0.03</v>
          </cell>
        </row>
        <row r="31">
          <cell r="F31">
            <v>7400000</v>
          </cell>
          <cell r="H31">
            <v>7.0000000000000007E-2</v>
          </cell>
        </row>
        <row r="32">
          <cell r="F32">
            <v>8000000</v>
          </cell>
          <cell r="H32">
            <v>0.02</v>
          </cell>
        </row>
        <row r="33">
          <cell r="F33">
            <v>8600000</v>
          </cell>
          <cell r="H33">
            <v>0.01</v>
          </cell>
        </row>
        <row r="34">
          <cell r="F34">
            <v>9200000</v>
          </cell>
          <cell r="H34">
            <v>0.03</v>
          </cell>
        </row>
        <row r="35">
          <cell r="F35">
            <v>9800000</v>
          </cell>
          <cell r="H35">
            <v>0.01</v>
          </cell>
        </row>
        <row r="36">
          <cell r="F36">
            <v>10400000</v>
          </cell>
          <cell r="H36">
            <v>0.02</v>
          </cell>
        </row>
        <row r="37">
          <cell r="F37">
            <v>11000000</v>
          </cell>
          <cell r="H37">
            <v>0.01</v>
          </cell>
        </row>
        <row r="38">
          <cell r="F38">
            <v>11600000</v>
          </cell>
          <cell r="H38">
            <v>0.01</v>
          </cell>
        </row>
        <row r="39">
          <cell r="F39">
            <v>12200000</v>
          </cell>
          <cell r="H39">
            <v>0.02</v>
          </cell>
        </row>
        <row r="40">
          <cell r="F40">
            <v>12800000</v>
          </cell>
          <cell r="H40">
            <v>0.01</v>
          </cell>
        </row>
        <row r="41">
          <cell r="F41">
            <v>13400000</v>
          </cell>
          <cell r="H41">
            <v>0</v>
          </cell>
        </row>
        <row r="42">
          <cell r="F42">
            <v>14000000</v>
          </cell>
          <cell r="H42">
            <v>0</v>
          </cell>
        </row>
        <row r="43">
          <cell r="F43">
            <v>14600000</v>
          </cell>
          <cell r="H43">
            <v>0.02</v>
          </cell>
        </row>
        <row r="44">
          <cell r="F44">
            <v>15200000</v>
          </cell>
          <cell r="H44">
            <v>0</v>
          </cell>
        </row>
        <row r="45">
          <cell r="F45">
            <v>15800000</v>
          </cell>
          <cell r="H45">
            <v>0</v>
          </cell>
        </row>
        <row r="46">
          <cell r="F46">
            <v>16400000</v>
          </cell>
          <cell r="H46">
            <v>0</v>
          </cell>
        </row>
        <row r="47">
          <cell r="F47">
            <v>17000000</v>
          </cell>
          <cell r="H47">
            <v>0</v>
          </cell>
        </row>
        <row r="48">
          <cell r="F48">
            <v>17600000</v>
          </cell>
          <cell r="H48">
            <v>0</v>
          </cell>
        </row>
        <row r="49">
          <cell r="F49">
            <v>18200000</v>
          </cell>
          <cell r="H49">
            <v>0</v>
          </cell>
        </row>
        <row r="50">
          <cell r="F50">
            <v>18800000</v>
          </cell>
          <cell r="H50">
            <v>0</v>
          </cell>
        </row>
        <row r="51">
          <cell r="F51">
            <v>19400000</v>
          </cell>
          <cell r="H51">
            <v>0</v>
          </cell>
        </row>
        <row r="52">
          <cell r="F52">
            <v>20000000</v>
          </cell>
          <cell r="H52">
            <v>0</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ln>
          <a:solidFill>
            <a:sysClr val="windowText" lastClr="000000"/>
          </a:solidFill>
        </a:ln>
      </a:spPr>
      <a:bodyPr vertOverflow="clip" horzOverflow="clip" rtlCol="0" anchor="t"/>
      <a:lstStyle>
        <a:defPPr algn="l">
          <a:defRPr sz="1100"/>
        </a:defPPr>
      </a:lstStyle>
      <a:style>
        <a:lnRef idx="1">
          <a:schemeClr val="accent1"/>
        </a:lnRef>
        <a:fillRef idx="2">
          <a:schemeClr val="accent1"/>
        </a:fillRef>
        <a:effectRef idx="1">
          <a:schemeClr val="accent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C70A1-EA4F-3148-B3D0-97C9F13C9C61}">
  <sheetPr codeName="Sheet4"/>
  <dimension ref="B2:C49"/>
  <sheetViews>
    <sheetView showGridLines="0" workbookViewId="0">
      <selection activeCell="M31" sqref="M31"/>
    </sheetView>
  </sheetViews>
  <sheetFormatPr baseColWidth="10" defaultRowHeight="15" x14ac:dyDescent="0.2"/>
  <cols>
    <col min="2" max="2" width="5.6640625" customWidth="1"/>
  </cols>
  <sheetData>
    <row r="2" spans="2:3" ht="19" x14ac:dyDescent="0.25">
      <c r="B2" s="172" t="s">
        <v>81</v>
      </c>
    </row>
    <row r="4" spans="2:3" x14ac:dyDescent="0.2">
      <c r="B4" s="171" t="s">
        <v>82</v>
      </c>
    </row>
    <row r="5" spans="2:3" x14ac:dyDescent="0.2">
      <c r="C5" t="s">
        <v>83</v>
      </c>
    </row>
    <row r="7" spans="2:3" x14ac:dyDescent="0.2">
      <c r="B7" s="171" t="s">
        <v>84</v>
      </c>
    </row>
    <row r="8" spans="2:3" x14ac:dyDescent="0.2">
      <c r="C8" s="171" t="s">
        <v>85</v>
      </c>
    </row>
    <row r="9" spans="2:3" x14ac:dyDescent="0.2">
      <c r="C9" s="173" t="s">
        <v>105</v>
      </c>
    </row>
    <row r="10" spans="2:3" x14ac:dyDescent="0.2">
      <c r="C10" s="173" t="s">
        <v>115</v>
      </c>
    </row>
    <row r="11" spans="2:3" x14ac:dyDescent="0.2">
      <c r="C11" t="s">
        <v>86</v>
      </c>
    </row>
    <row r="12" spans="2:3" x14ac:dyDescent="0.2">
      <c r="C12" t="s">
        <v>87</v>
      </c>
    </row>
    <row r="13" spans="2:3" x14ac:dyDescent="0.2">
      <c r="C13" t="s">
        <v>88</v>
      </c>
    </row>
    <row r="14" spans="2:3" x14ac:dyDescent="0.2">
      <c r="C14" t="s">
        <v>123</v>
      </c>
    </row>
    <row r="16" spans="2:3" x14ac:dyDescent="0.2">
      <c r="C16" s="171" t="s">
        <v>89</v>
      </c>
    </row>
    <row r="17" spans="2:3" x14ac:dyDescent="0.2">
      <c r="C17" s="173" t="s">
        <v>106</v>
      </c>
    </row>
    <row r="18" spans="2:3" x14ac:dyDescent="0.2">
      <c r="C18" s="173" t="s">
        <v>107</v>
      </c>
    </row>
    <row r="19" spans="2:3" x14ac:dyDescent="0.2">
      <c r="C19" s="173" t="s">
        <v>116</v>
      </c>
    </row>
    <row r="20" spans="2:3" x14ac:dyDescent="0.2">
      <c r="C20" s="173" t="s">
        <v>117</v>
      </c>
    </row>
    <row r="21" spans="2:3" x14ac:dyDescent="0.2">
      <c r="C21" s="173" t="s">
        <v>108</v>
      </c>
    </row>
    <row r="23" spans="2:3" x14ac:dyDescent="0.2">
      <c r="C23" s="171" t="s">
        <v>90</v>
      </c>
    </row>
    <row r="24" spans="2:3" x14ac:dyDescent="0.2">
      <c r="C24" s="173" t="s">
        <v>109</v>
      </c>
    </row>
    <row r="25" spans="2:3" x14ac:dyDescent="0.2">
      <c r="C25" s="173" t="s">
        <v>110</v>
      </c>
    </row>
    <row r="26" spans="2:3" x14ac:dyDescent="0.2">
      <c r="C26" s="173" t="s">
        <v>111</v>
      </c>
    </row>
    <row r="28" spans="2:3" x14ac:dyDescent="0.2">
      <c r="B28" s="171" t="s">
        <v>91</v>
      </c>
    </row>
    <row r="29" spans="2:3" x14ac:dyDescent="0.2">
      <c r="C29" s="174" t="s">
        <v>92</v>
      </c>
    </row>
    <row r="30" spans="2:3" x14ac:dyDescent="0.2">
      <c r="C30" t="s">
        <v>124</v>
      </c>
    </row>
    <row r="31" spans="2:3" x14ac:dyDescent="0.2">
      <c r="C31" t="s">
        <v>93</v>
      </c>
    </row>
    <row r="32" spans="2:3" x14ac:dyDescent="0.2">
      <c r="C32" t="s">
        <v>94</v>
      </c>
    </row>
    <row r="33" spans="2:3" x14ac:dyDescent="0.2">
      <c r="C33" t="s">
        <v>95</v>
      </c>
    </row>
    <row r="34" spans="2:3" x14ac:dyDescent="0.2">
      <c r="C34" t="s">
        <v>96</v>
      </c>
    </row>
    <row r="36" spans="2:3" x14ac:dyDescent="0.2">
      <c r="B36" s="171" t="s">
        <v>97</v>
      </c>
    </row>
    <row r="37" spans="2:3" x14ac:dyDescent="0.2">
      <c r="C37" t="s">
        <v>98</v>
      </c>
    </row>
    <row r="38" spans="2:3" x14ac:dyDescent="0.2">
      <c r="C38" t="s">
        <v>99</v>
      </c>
    </row>
    <row r="39" spans="2:3" x14ac:dyDescent="0.2">
      <c r="C39" t="s">
        <v>100</v>
      </c>
    </row>
    <row r="40" spans="2:3" x14ac:dyDescent="0.2">
      <c r="C40" t="s">
        <v>101</v>
      </c>
    </row>
    <row r="41" spans="2:3" x14ac:dyDescent="0.2">
      <c r="C41" t="s">
        <v>102</v>
      </c>
    </row>
    <row r="42" spans="2:3" x14ac:dyDescent="0.2">
      <c r="C42" t="s">
        <v>103</v>
      </c>
    </row>
    <row r="44" spans="2:3" x14ac:dyDescent="0.2">
      <c r="B44" s="171" t="s">
        <v>104</v>
      </c>
    </row>
    <row r="45" spans="2:3" x14ac:dyDescent="0.2">
      <c r="C45" s="173" t="s">
        <v>112</v>
      </c>
    </row>
    <row r="46" spans="2:3" x14ac:dyDescent="0.2">
      <c r="C46" s="173" t="s">
        <v>113</v>
      </c>
    </row>
    <row r="47" spans="2:3" x14ac:dyDescent="0.2">
      <c r="C47" s="173" t="s">
        <v>114</v>
      </c>
    </row>
    <row r="49" spans="2:2" x14ac:dyDescent="0.2">
      <c r="B49" s="171"/>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18FEF-230D-429F-A121-57C845706CC8}">
  <sheetPr codeName="Sheet1">
    <tabColor theme="4" tint="0.39997558519241921"/>
  </sheetPr>
  <dimension ref="A1:S64"/>
  <sheetViews>
    <sheetView showGridLines="0" tabSelected="1" zoomScaleNormal="100" workbookViewId="0">
      <selection activeCell="F48" sqref="F48"/>
    </sheetView>
  </sheetViews>
  <sheetFormatPr baseColWidth="10" defaultColWidth="8.83203125" defaultRowHeight="15" x14ac:dyDescent="0.2"/>
  <cols>
    <col min="1" max="1" width="8.83203125" style="74"/>
    <col min="2" max="2" width="18.5" style="74" customWidth="1"/>
    <col min="3" max="3" width="14.6640625" style="74" customWidth="1"/>
    <col min="4" max="4" width="3" style="74" customWidth="1"/>
    <col min="5" max="5" width="25.83203125" style="74" bestFit="1" customWidth="1"/>
    <col min="6" max="6" width="20.33203125" style="74" customWidth="1"/>
    <col min="7" max="7" width="23.33203125" style="74" customWidth="1"/>
    <col min="8" max="10" width="17.5" style="74" customWidth="1"/>
    <col min="11" max="11" width="15.1640625" style="74" bestFit="1" customWidth="1"/>
    <col min="12" max="12" width="15.33203125" style="74" customWidth="1"/>
    <col min="13" max="13" width="14.6640625" style="74" bestFit="1" customWidth="1"/>
    <col min="14" max="14" width="15.6640625" style="74" bestFit="1" customWidth="1"/>
    <col min="15" max="19" width="14.5" style="74" bestFit="1" customWidth="1"/>
    <col min="20" max="16384" width="8.83203125" style="74"/>
  </cols>
  <sheetData>
    <row r="1" spans="2:19" ht="15" customHeight="1" thickBot="1" x14ac:dyDescent="0.25"/>
    <row r="2" spans="2:19" ht="15" customHeight="1" x14ac:dyDescent="0.2">
      <c r="B2" s="127" t="s">
        <v>32</v>
      </c>
      <c r="C2" s="128"/>
      <c r="E2" s="124" t="s">
        <v>31</v>
      </c>
      <c r="F2" s="125"/>
      <c r="G2" s="125"/>
      <c r="H2" s="125"/>
      <c r="I2" s="125"/>
      <c r="J2" s="125"/>
      <c r="K2" s="125"/>
      <c r="L2" s="125"/>
      <c r="M2" s="125"/>
      <c r="N2" s="125"/>
      <c r="O2" s="125"/>
      <c r="P2" s="125"/>
      <c r="Q2" s="125"/>
      <c r="R2" s="125"/>
      <c r="S2" s="126"/>
    </row>
    <row r="3" spans="2:19" ht="15" customHeight="1" x14ac:dyDescent="0.2">
      <c r="B3" s="70" t="s">
        <v>0</v>
      </c>
      <c r="C3" s="115">
        <v>10000000</v>
      </c>
      <c r="E3" s="88" t="s">
        <v>11</v>
      </c>
      <c r="F3" s="89">
        <v>0</v>
      </c>
      <c r="G3" s="89">
        <v>1</v>
      </c>
      <c r="H3" s="89">
        <v>2</v>
      </c>
      <c r="I3" s="89">
        <v>3</v>
      </c>
      <c r="J3" s="89">
        <v>4</v>
      </c>
      <c r="K3" s="89">
        <v>5</v>
      </c>
      <c r="L3" s="89">
        <v>6</v>
      </c>
      <c r="M3" s="89">
        <v>7</v>
      </c>
      <c r="N3" s="89">
        <v>8</v>
      </c>
      <c r="O3" s="89">
        <v>9</v>
      </c>
      <c r="P3" s="89">
        <v>10</v>
      </c>
      <c r="Q3" s="89">
        <v>11</v>
      </c>
      <c r="R3" s="89">
        <v>12</v>
      </c>
      <c r="S3" s="90">
        <v>13</v>
      </c>
    </row>
    <row r="4" spans="2:19" ht="15" customHeight="1" x14ac:dyDescent="0.2">
      <c r="B4" s="70" t="s">
        <v>16</v>
      </c>
      <c r="C4" s="71">
        <f>C3/13</f>
        <v>769230.76923076925</v>
      </c>
      <c r="E4" s="70" t="s">
        <v>13</v>
      </c>
      <c r="F4" s="91">
        <f>-VLOOKUP($E$24,sc,3,FALSE)/$C$5</f>
        <v>-5000000</v>
      </c>
      <c r="G4" s="91">
        <f>-VLOOKUP($E$24,sc,3,FALSE)/$C$5</f>
        <v>-5000000</v>
      </c>
      <c r="H4" s="91"/>
      <c r="I4" s="91"/>
      <c r="J4" s="91"/>
      <c r="K4" s="91"/>
      <c r="L4" s="91"/>
      <c r="M4" s="91"/>
      <c r="N4" s="91"/>
      <c r="O4" s="91"/>
      <c r="P4" s="91"/>
      <c r="Q4" s="91"/>
      <c r="R4" s="91"/>
      <c r="S4" s="92"/>
    </row>
    <row r="5" spans="2:19" ht="15" customHeight="1" x14ac:dyDescent="0.2">
      <c r="B5" s="70" t="s">
        <v>19</v>
      </c>
      <c r="C5" s="71">
        <v>2</v>
      </c>
      <c r="E5" s="70" t="s">
        <v>12</v>
      </c>
      <c r="F5" s="91"/>
      <c r="G5" s="91"/>
      <c r="H5" s="91">
        <f>($C$7*VLOOKUP($E$24,sc,4,FALSE))</f>
        <v>2000000</v>
      </c>
      <c r="I5" s="91">
        <f>($C$7*VLOOKUP($E$24,sc,4,FALSE))</f>
        <v>2000000</v>
      </c>
      <c r="J5" s="91">
        <f>($C$7*VLOOKUP($E$24,sc,4,FALSE))</f>
        <v>2000000</v>
      </c>
      <c r="K5" s="91">
        <f t="shared" ref="K5:S5" si="0">($C$8*VLOOKUP($E$24,sc,4,FALSE))</f>
        <v>3000000</v>
      </c>
      <c r="L5" s="91">
        <f t="shared" si="0"/>
        <v>3000000</v>
      </c>
      <c r="M5" s="91">
        <f t="shared" si="0"/>
        <v>3000000</v>
      </c>
      <c r="N5" s="91">
        <f t="shared" si="0"/>
        <v>3000000</v>
      </c>
      <c r="O5" s="91">
        <f t="shared" si="0"/>
        <v>3000000</v>
      </c>
      <c r="P5" s="91">
        <f t="shared" si="0"/>
        <v>3000000</v>
      </c>
      <c r="Q5" s="91">
        <f t="shared" si="0"/>
        <v>3000000</v>
      </c>
      <c r="R5" s="91">
        <f t="shared" si="0"/>
        <v>3000000</v>
      </c>
      <c r="S5" s="92">
        <f t="shared" si="0"/>
        <v>3000000</v>
      </c>
    </row>
    <row r="6" spans="2:19" ht="15" customHeight="1" x14ac:dyDescent="0.2">
      <c r="B6" s="70"/>
      <c r="C6" s="71"/>
      <c r="E6" s="70" t="s">
        <v>15</v>
      </c>
      <c r="F6" s="91"/>
      <c r="G6" s="91"/>
      <c r="H6" s="91">
        <f>-($F$18*VLOOKUP($E$24,sc,5,FALSE))</f>
        <v>-500000</v>
      </c>
      <c r="I6" s="91">
        <f>-($F$18*VLOOKUP($E$24,sc,5,FALSE))</f>
        <v>-500000</v>
      </c>
      <c r="J6" s="91">
        <f>-($F$18*VLOOKUP($E$24,sc,5,FALSE))</f>
        <v>-500000</v>
      </c>
      <c r="K6" s="91">
        <f t="shared" ref="K6:S6" si="1">-($F$19*VLOOKUP($E$24,sc,5,FALSE))</f>
        <v>-750000</v>
      </c>
      <c r="L6" s="91">
        <f t="shared" si="1"/>
        <v>-750000</v>
      </c>
      <c r="M6" s="91">
        <f t="shared" si="1"/>
        <v>-750000</v>
      </c>
      <c r="N6" s="91">
        <f t="shared" si="1"/>
        <v>-750000</v>
      </c>
      <c r="O6" s="91">
        <f t="shared" si="1"/>
        <v>-750000</v>
      </c>
      <c r="P6" s="91">
        <f t="shared" si="1"/>
        <v>-750000</v>
      </c>
      <c r="Q6" s="91">
        <f t="shared" si="1"/>
        <v>-750000</v>
      </c>
      <c r="R6" s="91">
        <f t="shared" si="1"/>
        <v>-750000</v>
      </c>
      <c r="S6" s="92">
        <f t="shared" si="1"/>
        <v>-750000</v>
      </c>
    </row>
    <row r="7" spans="2:19" ht="15" customHeight="1" x14ac:dyDescent="0.2">
      <c r="B7" s="70" t="s">
        <v>26</v>
      </c>
      <c r="C7" s="71">
        <v>1000000</v>
      </c>
      <c r="E7" s="70" t="s">
        <v>14</v>
      </c>
      <c r="F7" s="91">
        <f>SUM(F5:F6)</f>
        <v>0</v>
      </c>
      <c r="G7" s="91">
        <f t="shared" ref="G7:Q7" si="2">SUM(G5:G6)</f>
        <v>0</v>
      </c>
      <c r="H7" s="91">
        <f>SUM(H5:H6)</f>
        <v>1500000</v>
      </c>
      <c r="I7" s="91">
        <f t="shared" si="2"/>
        <v>1500000</v>
      </c>
      <c r="J7" s="91">
        <f t="shared" si="2"/>
        <v>1500000</v>
      </c>
      <c r="K7" s="91">
        <f>SUM(K5:K6)</f>
        <v>2250000</v>
      </c>
      <c r="L7" s="91">
        <f t="shared" si="2"/>
        <v>2250000</v>
      </c>
      <c r="M7" s="91">
        <f t="shared" si="2"/>
        <v>2250000</v>
      </c>
      <c r="N7" s="91">
        <f t="shared" si="2"/>
        <v>2250000</v>
      </c>
      <c r="O7" s="91">
        <f t="shared" si="2"/>
        <v>2250000</v>
      </c>
      <c r="P7" s="91">
        <f t="shared" si="2"/>
        <v>2250000</v>
      </c>
      <c r="Q7" s="91">
        <f t="shared" si="2"/>
        <v>2250000</v>
      </c>
      <c r="R7" s="91">
        <f>SUM(R5:R6)</f>
        <v>2250000</v>
      </c>
      <c r="S7" s="92">
        <f>SUM(S5:S6) + C4</f>
        <v>3019230.769230769</v>
      </c>
    </row>
    <row r="8" spans="2:19" ht="15" customHeight="1" x14ac:dyDescent="0.2">
      <c r="B8" s="70" t="s">
        <v>27</v>
      </c>
      <c r="C8" s="116">
        <v>1500000</v>
      </c>
      <c r="E8" s="70" t="s">
        <v>16</v>
      </c>
      <c r="F8" s="91"/>
      <c r="G8" s="91"/>
      <c r="H8" s="91">
        <f>$C$4</f>
        <v>769230.76923076925</v>
      </c>
      <c r="I8" s="91">
        <f>$C$4</f>
        <v>769230.76923076925</v>
      </c>
      <c r="J8" s="91">
        <f t="shared" ref="J8:S8" si="3">$C$4</f>
        <v>769230.76923076925</v>
      </c>
      <c r="K8" s="91">
        <f t="shared" si="3"/>
        <v>769230.76923076925</v>
      </c>
      <c r="L8" s="91">
        <f>$C$4</f>
        <v>769230.76923076925</v>
      </c>
      <c r="M8" s="91">
        <f t="shared" si="3"/>
        <v>769230.76923076925</v>
      </c>
      <c r="N8" s="91">
        <f t="shared" si="3"/>
        <v>769230.76923076925</v>
      </c>
      <c r="O8" s="91">
        <f t="shared" si="3"/>
        <v>769230.76923076925</v>
      </c>
      <c r="P8" s="91">
        <f t="shared" si="3"/>
        <v>769230.76923076925</v>
      </c>
      <c r="Q8" s="91">
        <f t="shared" si="3"/>
        <v>769230.76923076925</v>
      </c>
      <c r="R8" s="91">
        <f t="shared" si="3"/>
        <v>769230.76923076925</v>
      </c>
      <c r="S8" s="92">
        <f t="shared" si="3"/>
        <v>769230.76923076925</v>
      </c>
    </row>
    <row r="9" spans="2:19" ht="15" customHeight="1" x14ac:dyDescent="0.2">
      <c r="B9" s="70" t="s">
        <v>20</v>
      </c>
      <c r="C9" s="71">
        <v>2</v>
      </c>
      <c r="E9" s="70" t="s">
        <v>17</v>
      </c>
      <c r="F9" s="91">
        <f>-(F7-F8)*$C$12</f>
        <v>0</v>
      </c>
      <c r="G9" s="91">
        <f t="shared" ref="G9:S9" si="4">-(G7-G8)*$C$12</f>
        <v>0</v>
      </c>
      <c r="H9" s="91">
        <f>-(H7-H8)*$C$12</f>
        <v>-146153.84615384616</v>
      </c>
      <c r="I9" s="91">
        <f>-(I7-I8)*$C$12</f>
        <v>-146153.84615384616</v>
      </c>
      <c r="J9" s="91">
        <f t="shared" si="4"/>
        <v>-146153.84615384616</v>
      </c>
      <c r="K9" s="91">
        <f t="shared" si="4"/>
        <v>-296153.84615384619</v>
      </c>
      <c r="L9" s="91">
        <f t="shared" si="4"/>
        <v>-296153.84615384619</v>
      </c>
      <c r="M9" s="91">
        <f t="shared" si="4"/>
        <v>-296153.84615384619</v>
      </c>
      <c r="N9" s="91">
        <f t="shared" si="4"/>
        <v>-296153.84615384619</v>
      </c>
      <c r="O9" s="91">
        <f t="shared" si="4"/>
        <v>-296153.84615384619</v>
      </c>
      <c r="P9" s="91">
        <f t="shared" si="4"/>
        <v>-296153.84615384619</v>
      </c>
      <c r="Q9" s="91">
        <f t="shared" si="4"/>
        <v>-296153.84615384619</v>
      </c>
      <c r="R9" s="91">
        <f t="shared" si="4"/>
        <v>-296153.84615384619</v>
      </c>
      <c r="S9" s="92">
        <f t="shared" si="4"/>
        <v>-450000</v>
      </c>
    </row>
    <row r="10" spans="2:19" ht="15" customHeight="1" x14ac:dyDescent="0.2">
      <c r="B10" s="70" t="s">
        <v>44</v>
      </c>
      <c r="C10" s="115">
        <v>0.5</v>
      </c>
      <c r="E10" s="70" t="s">
        <v>6</v>
      </c>
      <c r="F10" s="91"/>
      <c r="G10" s="91"/>
      <c r="H10" s="91">
        <f>$C$16</f>
        <v>50000</v>
      </c>
      <c r="I10" s="91">
        <f t="shared" ref="I10:L10" si="5">$C$16</f>
        <v>50000</v>
      </c>
      <c r="J10" s="91">
        <f t="shared" si="5"/>
        <v>50000</v>
      </c>
      <c r="K10" s="91">
        <f t="shared" si="5"/>
        <v>50000</v>
      </c>
      <c r="L10" s="91">
        <f t="shared" si="5"/>
        <v>50000</v>
      </c>
      <c r="M10" s="91"/>
      <c r="N10" s="91"/>
      <c r="O10" s="91">
        <f>-$C$16</f>
        <v>-50000</v>
      </c>
      <c r="P10" s="91">
        <f t="shared" ref="P10:S10" si="6">-$C$16</f>
        <v>-50000</v>
      </c>
      <c r="Q10" s="91">
        <f t="shared" si="6"/>
        <v>-50000</v>
      </c>
      <c r="R10" s="91">
        <f t="shared" si="6"/>
        <v>-50000</v>
      </c>
      <c r="S10" s="92">
        <f t="shared" si="6"/>
        <v>-50000</v>
      </c>
    </row>
    <row r="11" spans="2:19" ht="15" customHeight="1" x14ac:dyDescent="0.2">
      <c r="B11" s="70"/>
      <c r="C11" s="71"/>
      <c r="E11" s="70" t="s">
        <v>18</v>
      </c>
      <c r="F11" s="91">
        <f>F4+F7+F9+F10</f>
        <v>-5000000</v>
      </c>
      <c r="G11" s="91">
        <f t="shared" ref="G11:S11" si="7">G4+G7+G9+G10</f>
        <v>-5000000</v>
      </c>
      <c r="H11" s="91">
        <f t="shared" si="7"/>
        <v>1403846.1538461538</v>
      </c>
      <c r="I11" s="91">
        <f t="shared" si="7"/>
        <v>1403846.1538461538</v>
      </c>
      <c r="J11" s="91">
        <f t="shared" si="7"/>
        <v>1403846.1538461538</v>
      </c>
      <c r="K11" s="91">
        <f>K4+K7+K9+K10</f>
        <v>2003846.1538461538</v>
      </c>
      <c r="L11" s="91">
        <f t="shared" si="7"/>
        <v>2003846.1538461538</v>
      </c>
      <c r="M11" s="91">
        <f t="shared" si="7"/>
        <v>1953846.1538461538</v>
      </c>
      <c r="N11" s="91">
        <f t="shared" si="7"/>
        <v>1953846.1538461538</v>
      </c>
      <c r="O11" s="91">
        <f t="shared" si="7"/>
        <v>1903846.1538461538</v>
      </c>
      <c r="P11" s="91">
        <f t="shared" si="7"/>
        <v>1903846.1538461538</v>
      </c>
      <c r="Q11" s="91">
        <f t="shared" si="7"/>
        <v>1903846.1538461538</v>
      </c>
      <c r="R11" s="91">
        <f t="shared" si="7"/>
        <v>1903846.1538461538</v>
      </c>
      <c r="S11" s="92">
        <f t="shared" si="7"/>
        <v>2519230.769230769</v>
      </c>
    </row>
    <row r="12" spans="2:19" ht="15" customHeight="1" x14ac:dyDescent="0.2">
      <c r="B12" s="70" t="s">
        <v>2</v>
      </c>
      <c r="C12" s="192">
        <v>0.2</v>
      </c>
      <c r="E12" s="70" t="s">
        <v>21</v>
      </c>
      <c r="F12" s="91">
        <f>F11/(1+$C$15)^F3</f>
        <v>-5000000</v>
      </c>
      <c r="G12" s="91">
        <f t="shared" ref="G12:S12" si="8">G11/(1+$C$15)^G3</f>
        <v>-4727272.7272727275</v>
      </c>
      <c r="H12" s="91">
        <f t="shared" si="8"/>
        <v>1254876.0330578513</v>
      </c>
      <c r="I12" s="91">
        <f t="shared" si="8"/>
        <v>1186428.2494365138</v>
      </c>
      <c r="J12" s="91">
        <f t="shared" si="8"/>
        <v>1121713.9812854314</v>
      </c>
      <c r="K12" s="91">
        <f t="shared" si="8"/>
        <v>1513797.0202234075</v>
      </c>
      <c r="L12" s="91">
        <f t="shared" si="8"/>
        <v>1431226.2736657672</v>
      </c>
      <c r="M12" s="91">
        <f t="shared" si="8"/>
        <v>1319395.3322336383</v>
      </c>
      <c r="N12" s="91">
        <f t="shared" si="8"/>
        <v>1247428.3141118034</v>
      </c>
      <c r="O12" s="91">
        <f t="shared" si="8"/>
        <v>1149205.6122132363</v>
      </c>
      <c r="P12" s="91">
        <f t="shared" si="8"/>
        <v>1086521.669728878</v>
      </c>
      <c r="Q12" s="91">
        <f t="shared" si="8"/>
        <v>1027256.85138003</v>
      </c>
      <c r="R12" s="91">
        <f t="shared" si="8"/>
        <v>971224.65948657389</v>
      </c>
      <c r="S12" s="92">
        <f t="shared" si="8"/>
        <v>1215056.4518682354</v>
      </c>
    </row>
    <row r="13" spans="2:19" ht="15" customHeight="1" thickBot="1" x14ac:dyDescent="0.25">
      <c r="B13" s="70" t="s">
        <v>3</v>
      </c>
      <c r="C13" s="192">
        <v>0.04</v>
      </c>
      <c r="E13" s="72" t="s">
        <v>24</v>
      </c>
      <c r="F13" s="93">
        <f>SUM($F$12:F12)</f>
        <v>-5000000</v>
      </c>
      <c r="G13" s="93">
        <f>SUM($F$12:G12)</f>
        <v>-9727272.7272727266</v>
      </c>
      <c r="H13" s="93">
        <f>SUM($F$12:H12)</f>
        <v>-8472396.6942148749</v>
      </c>
      <c r="I13" s="93">
        <f>SUM($F$12:I12)</f>
        <v>-7285968.4447783614</v>
      </c>
      <c r="J13" s="93">
        <f>SUM($F$12:J12)</f>
        <v>-6164254.4634929299</v>
      </c>
      <c r="K13" s="93">
        <f>SUM($F$12:K12)</f>
        <v>-4650457.4432695229</v>
      </c>
      <c r="L13" s="93">
        <f>SUM($F$12:L12)</f>
        <v>-3219231.1696037557</v>
      </c>
      <c r="M13" s="93">
        <f>SUM($F$12:M12)</f>
        <v>-1899835.8373701174</v>
      </c>
      <c r="N13" s="93">
        <f>SUM($F$12:N12)</f>
        <v>-652407.523258314</v>
      </c>
      <c r="O13" s="93">
        <f>SUM($F$12:O12)</f>
        <v>496798.08895492228</v>
      </c>
      <c r="P13" s="93">
        <f>SUM($F$12:P12)</f>
        <v>1583319.7586838002</v>
      </c>
      <c r="Q13" s="93">
        <f>SUM($F$12:Q12)</f>
        <v>2610576.6100638304</v>
      </c>
      <c r="R13" s="93">
        <f>SUM($F$12:R12)</f>
        <v>3581801.2695504045</v>
      </c>
      <c r="S13" s="94">
        <f>SUM($F$12:S12)</f>
        <v>4796857.7214186396</v>
      </c>
    </row>
    <row r="14" spans="2:19" ht="15" customHeight="1" x14ac:dyDescent="0.2">
      <c r="B14" s="70" t="s">
        <v>22</v>
      </c>
      <c r="C14" s="71">
        <v>0.1</v>
      </c>
      <c r="F14" s="83"/>
      <c r="G14" s="83"/>
      <c r="H14" s="83"/>
      <c r="I14" s="83"/>
      <c r="J14" s="83"/>
      <c r="K14" s="83"/>
      <c r="L14" s="83"/>
      <c r="M14" s="83"/>
      <c r="N14" s="83"/>
      <c r="O14" s="83"/>
      <c r="P14" s="83"/>
      <c r="Q14" s="83"/>
      <c r="R14" s="83"/>
      <c r="S14" s="83"/>
    </row>
    <row r="15" spans="2:19" ht="15" customHeight="1" thickBot="1" x14ac:dyDescent="0.25">
      <c r="B15" s="70" t="s">
        <v>23</v>
      </c>
      <c r="C15" s="193">
        <f>(1+C14)/(1+C13)-1</f>
        <v>5.7692307692307709E-2</v>
      </c>
      <c r="G15" s="83"/>
      <c r="H15" s="83"/>
      <c r="I15" s="83"/>
      <c r="J15" s="83"/>
      <c r="K15" s="83"/>
      <c r="L15" s="83"/>
      <c r="M15" s="83"/>
      <c r="N15" s="83"/>
      <c r="O15" s="83"/>
      <c r="P15" s="83"/>
      <c r="Q15" s="83"/>
      <c r="R15" s="83"/>
      <c r="S15" s="83"/>
    </row>
    <row r="16" spans="2:19" ht="15" customHeight="1" thickBot="1" x14ac:dyDescent="0.25">
      <c r="B16" s="72" t="s">
        <v>4</v>
      </c>
      <c r="C16" s="73">
        <v>50000</v>
      </c>
      <c r="E16" s="127" t="s">
        <v>36</v>
      </c>
      <c r="F16" s="128"/>
      <c r="G16" s="83"/>
      <c r="P16" s="83"/>
      <c r="Q16" s="83"/>
      <c r="R16" s="83"/>
      <c r="S16" s="83"/>
    </row>
    <row r="17" spans="1:19" ht="15" customHeight="1" thickBot="1" x14ac:dyDescent="0.25">
      <c r="E17" s="70" t="s">
        <v>0</v>
      </c>
      <c r="F17" s="78">
        <f>Investment*sensitivity!B3</f>
        <v>10000000</v>
      </c>
      <c r="G17" s="83"/>
      <c r="O17" s="83"/>
      <c r="P17" s="83"/>
      <c r="Q17" s="83"/>
      <c r="R17" s="83"/>
      <c r="S17" s="83"/>
    </row>
    <row r="18" spans="1:19" ht="15" customHeight="1" x14ac:dyDescent="0.2">
      <c r="B18" s="129" t="s">
        <v>5</v>
      </c>
      <c r="C18" s="130"/>
      <c r="E18" s="70" t="s">
        <v>26</v>
      </c>
      <c r="F18" s="71">
        <f>C7*sensitivity!B4</f>
        <v>1000000</v>
      </c>
      <c r="G18" s="83"/>
      <c r="O18" s="83"/>
      <c r="P18" s="83"/>
      <c r="Q18" s="83"/>
      <c r="R18" s="83"/>
      <c r="S18" s="83"/>
    </row>
    <row r="19" spans="1:19" ht="15" customHeight="1" x14ac:dyDescent="0.2">
      <c r="B19" s="70" t="s">
        <v>7</v>
      </c>
      <c r="C19" s="78">
        <f>S13</f>
        <v>4796857.7214186396</v>
      </c>
      <c r="E19" s="70" t="s">
        <v>27</v>
      </c>
      <c r="F19" s="87">
        <f>C8*sensitivity!B5</f>
        <v>1500000</v>
      </c>
      <c r="G19" s="84"/>
      <c r="O19" s="83"/>
      <c r="P19" s="83"/>
      <c r="Q19" s="83"/>
      <c r="R19" s="83"/>
      <c r="S19" s="83"/>
    </row>
    <row r="20" spans="1:19" ht="15" customHeight="1" x14ac:dyDescent="0.2">
      <c r="B20" s="70" t="s">
        <v>8</v>
      </c>
      <c r="C20" s="99">
        <f>IRR(F11:S11)</f>
        <v>0.12540521045215058</v>
      </c>
      <c r="E20" s="70" t="s">
        <v>20</v>
      </c>
      <c r="F20" s="71">
        <f>C9*sensitivity!B6</f>
        <v>2</v>
      </c>
    </row>
    <row r="21" spans="1:19" ht="15" customHeight="1" thickBot="1" x14ac:dyDescent="0.25">
      <c r="B21" s="70" t="s">
        <v>9</v>
      </c>
      <c r="C21" s="100">
        <f>(C3+S13)/C3</f>
        <v>1.4796857721418639</v>
      </c>
      <c r="E21" s="72" t="s">
        <v>1</v>
      </c>
      <c r="F21" s="98">
        <f>C10*sensitivity!B7</f>
        <v>0.5</v>
      </c>
    </row>
    <row r="22" spans="1:19" ht="15" customHeight="1" thickBot="1" x14ac:dyDescent="0.25">
      <c r="B22" s="72" t="s">
        <v>10</v>
      </c>
      <c r="C22" s="101" cm="1">
        <f t="array" ref="C22">MATCH(TRUE,F13:S13&gt;0,)</f>
        <v>10</v>
      </c>
    </row>
    <row r="23" spans="1:19" ht="15" customHeight="1" x14ac:dyDescent="0.2">
      <c r="E23" s="121" t="s">
        <v>45</v>
      </c>
      <c r="F23" s="122"/>
      <c r="G23" s="122"/>
      <c r="H23" s="122"/>
      <c r="I23" s="122"/>
      <c r="J23" s="123"/>
    </row>
    <row r="24" spans="1:19" ht="15" customHeight="1" x14ac:dyDescent="0.2">
      <c r="A24" s="85"/>
      <c r="B24" s="74" t="s">
        <v>80</v>
      </c>
      <c r="C24" s="85"/>
      <c r="E24" s="182">
        <v>2</v>
      </c>
      <c r="F24" s="52"/>
      <c r="G24" s="52" t="s">
        <v>43</v>
      </c>
      <c r="H24" s="52" t="s">
        <v>0</v>
      </c>
      <c r="I24" s="52" t="s">
        <v>20</v>
      </c>
      <c r="J24" s="95" t="s">
        <v>44</v>
      </c>
    </row>
    <row r="25" spans="1:19" ht="15" customHeight="1" x14ac:dyDescent="0.2">
      <c r="E25" s="70"/>
      <c r="F25" s="48">
        <v>1</v>
      </c>
      <c r="G25" s="48" t="s">
        <v>40</v>
      </c>
      <c r="H25" s="96">
        <f>Investment*1.1</f>
        <v>11000000</v>
      </c>
      <c r="I25" s="96">
        <f>Price*0.9</f>
        <v>1.8</v>
      </c>
      <c r="J25" s="78">
        <f>Cost_per_botle*1.2</f>
        <v>0.6</v>
      </c>
    </row>
    <row r="26" spans="1:19" ht="15" customHeight="1" x14ac:dyDescent="0.2">
      <c r="E26" s="70" t="s">
        <v>46</v>
      </c>
      <c r="F26" s="48">
        <v>2</v>
      </c>
      <c r="G26" s="48" t="s">
        <v>42</v>
      </c>
      <c r="H26" s="96">
        <f>Investment*sensitivity!B3*1</f>
        <v>10000000</v>
      </c>
      <c r="I26" s="96">
        <f>C9*sensitivity!B6*1</f>
        <v>2</v>
      </c>
      <c r="J26" s="78">
        <f>C10*sensitivity!B7*1</f>
        <v>0.5</v>
      </c>
    </row>
    <row r="27" spans="1:19" ht="15" customHeight="1" thickBot="1" x14ac:dyDescent="0.25">
      <c r="E27" s="72"/>
      <c r="F27" s="76">
        <v>3</v>
      </c>
      <c r="G27" s="76" t="s">
        <v>41</v>
      </c>
      <c r="H27" s="97">
        <f>Investment*0.9</f>
        <v>9000000</v>
      </c>
      <c r="I27" s="97">
        <f>Price*1.1</f>
        <v>2.2000000000000002</v>
      </c>
      <c r="J27" s="98">
        <f>Cost_per_botle*1</f>
        <v>0.5</v>
      </c>
    </row>
    <row r="28" spans="1:19" ht="15" customHeight="1" thickBot="1" x14ac:dyDescent="0.25"/>
    <row r="29" spans="1:19" ht="15" customHeight="1" x14ac:dyDescent="0.2">
      <c r="B29" s="86"/>
      <c r="C29" s="86"/>
      <c r="E29" s="121" t="s">
        <v>118</v>
      </c>
      <c r="F29" s="122"/>
      <c r="G29" s="122"/>
      <c r="H29" s="122"/>
      <c r="I29" s="122"/>
      <c r="J29" s="123"/>
    </row>
    <row r="30" spans="1:19" ht="15" customHeight="1" x14ac:dyDescent="0.2">
      <c r="B30" s="86"/>
      <c r="C30" s="86"/>
      <c r="E30" s="104" t="s">
        <v>25</v>
      </c>
      <c r="F30" s="105"/>
      <c r="G30" s="48"/>
      <c r="H30" s="48"/>
      <c r="I30" s="91"/>
      <c r="J30" s="92"/>
    </row>
    <row r="31" spans="1:19" ht="15" customHeight="1" x14ac:dyDescent="0.2">
      <c r="B31" s="86"/>
      <c r="C31" s="86"/>
      <c r="E31" s="104" t="s">
        <v>34</v>
      </c>
      <c r="F31" s="105"/>
      <c r="G31" s="48"/>
      <c r="H31" s="48"/>
      <c r="I31" s="91"/>
      <c r="J31" s="92"/>
    </row>
    <row r="32" spans="1:19" ht="15" customHeight="1" x14ac:dyDescent="0.2">
      <c r="B32" s="86"/>
      <c r="C32" s="86"/>
      <c r="E32" s="104" t="s">
        <v>47</v>
      </c>
      <c r="F32" s="105"/>
      <c r="G32" s="91"/>
      <c r="H32" s="91"/>
      <c r="I32" s="91"/>
      <c r="J32" s="92"/>
    </row>
    <row r="33" spans="5:19" ht="15" customHeight="1" x14ac:dyDescent="0.2">
      <c r="E33" s="104" t="s">
        <v>48</v>
      </c>
      <c r="F33" s="105"/>
      <c r="G33" s="91"/>
      <c r="H33" s="91"/>
      <c r="I33" s="91"/>
      <c r="J33" s="92"/>
    </row>
    <row r="34" spans="5:19" ht="15" customHeight="1" thickBot="1" x14ac:dyDescent="0.25">
      <c r="E34" s="72" t="s">
        <v>119</v>
      </c>
      <c r="F34" s="93"/>
      <c r="G34" s="93"/>
      <c r="H34" s="93"/>
      <c r="I34" s="93"/>
      <c r="J34" s="94"/>
    </row>
    <row r="35" spans="5:19" ht="15" customHeight="1" thickBot="1" x14ac:dyDescent="0.25"/>
    <row r="36" spans="5:19" ht="15" customHeight="1" x14ac:dyDescent="0.2">
      <c r="E36" s="131" t="s">
        <v>51</v>
      </c>
      <c r="F36" s="132"/>
      <c r="G36" s="132"/>
      <c r="H36" s="132"/>
      <c r="I36" s="132"/>
      <c r="J36" s="132"/>
      <c r="K36" s="132"/>
      <c r="L36" s="133"/>
    </row>
    <row r="37" spans="5:19" ht="15" customHeight="1" x14ac:dyDescent="0.2">
      <c r="E37" s="70"/>
      <c r="F37" s="177" t="s">
        <v>28</v>
      </c>
      <c r="G37" s="178" t="s">
        <v>52</v>
      </c>
      <c r="H37" s="179"/>
      <c r="I37" s="176"/>
      <c r="J37" s="176"/>
      <c r="K37" s="91"/>
      <c r="L37" s="175" t="s">
        <v>29</v>
      </c>
      <c r="M37" s="83"/>
      <c r="N37" s="83"/>
      <c r="O37" s="83"/>
      <c r="P37" s="83"/>
      <c r="Q37" s="83"/>
      <c r="R37" s="83"/>
      <c r="S37" s="83"/>
    </row>
    <row r="38" spans="5:19" ht="15" customHeight="1" x14ac:dyDescent="0.2">
      <c r="E38" s="70" t="s">
        <v>0</v>
      </c>
      <c r="F38" s="180">
        <v>10000000</v>
      </c>
      <c r="G38" s="103" t="s">
        <v>37</v>
      </c>
      <c r="H38" s="180"/>
      <c r="I38" s="176"/>
      <c r="J38" s="176"/>
      <c r="K38" s="91"/>
      <c r="L38" s="78">
        <v>15853095.979656352</v>
      </c>
      <c r="M38" s="83"/>
      <c r="N38" s="83"/>
      <c r="O38" s="83"/>
      <c r="P38" s="83"/>
      <c r="Q38" s="83"/>
      <c r="R38" s="83"/>
      <c r="S38" s="83"/>
    </row>
    <row r="39" spans="5:19" ht="15" customHeight="1" x14ac:dyDescent="0.2">
      <c r="E39" s="70" t="s">
        <v>30</v>
      </c>
      <c r="F39" s="181">
        <v>1500000</v>
      </c>
      <c r="G39" s="176" t="s">
        <v>38</v>
      </c>
      <c r="H39" s="181"/>
      <c r="I39" s="176"/>
      <c r="J39" s="176"/>
      <c r="K39" s="91"/>
      <c r="L39" s="87">
        <v>771847.06658422877</v>
      </c>
      <c r="M39" s="83"/>
      <c r="N39" s="83"/>
      <c r="O39" s="83"/>
      <c r="P39" s="83"/>
      <c r="Q39" s="83"/>
      <c r="R39" s="83"/>
      <c r="S39" s="83"/>
    </row>
    <row r="40" spans="5:19" ht="15" customHeight="1" thickBot="1" x14ac:dyDescent="0.25">
      <c r="E40" s="72" t="s">
        <v>1</v>
      </c>
      <c r="F40" s="97">
        <v>0.5</v>
      </c>
      <c r="G40" s="76" t="s">
        <v>39</v>
      </c>
      <c r="H40" s="97"/>
      <c r="I40" s="76"/>
      <c r="J40" s="76"/>
      <c r="K40" s="93"/>
      <c r="L40" s="98">
        <v>1.0566001996539747</v>
      </c>
      <c r="M40" s="83"/>
      <c r="N40" s="83"/>
      <c r="O40" s="83"/>
      <c r="P40" s="83"/>
      <c r="Q40" s="83"/>
      <c r="R40" s="83"/>
      <c r="S40" s="83"/>
    </row>
    <row r="41" spans="5:19" ht="15" customHeight="1" x14ac:dyDescent="0.2">
      <c r="K41" s="83"/>
      <c r="L41" s="83"/>
      <c r="M41" s="83"/>
      <c r="N41" s="83"/>
      <c r="O41" s="83"/>
      <c r="P41" s="83"/>
      <c r="Q41" s="83"/>
      <c r="R41" s="83"/>
      <c r="S41" s="83"/>
    </row>
    <row r="42" spans="5:19" ht="15" customHeight="1" x14ac:dyDescent="0.2">
      <c r="K42" s="83"/>
      <c r="L42" s="83"/>
      <c r="M42" s="83"/>
      <c r="N42" s="83"/>
      <c r="O42" s="83"/>
      <c r="P42" s="83"/>
      <c r="Q42" s="83"/>
      <c r="R42" s="83"/>
      <c r="S42" s="83"/>
    </row>
    <row r="43" spans="5:19" ht="15" customHeight="1" x14ac:dyDescent="0.2">
      <c r="K43" s="83"/>
      <c r="L43" s="83"/>
      <c r="M43" s="83"/>
      <c r="N43" s="83"/>
      <c r="O43" s="83"/>
      <c r="P43" s="83"/>
      <c r="Q43" s="83"/>
      <c r="R43" s="83"/>
      <c r="S43" s="83"/>
    </row>
    <row r="44" spans="5:19" ht="15" customHeight="1" x14ac:dyDescent="0.2">
      <c r="K44" s="83"/>
      <c r="L44" s="83"/>
      <c r="M44" s="83"/>
      <c r="N44" s="83"/>
      <c r="O44" s="83"/>
      <c r="P44" s="83"/>
      <c r="Q44" s="83"/>
      <c r="R44" s="83"/>
      <c r="S44" s="83"/>
    </row>
    <row r="45" spans="5:19" ht="15" customHeight="1" x14ac:dyDescent="0.2">
      <c r="K45" s="83"/>
      <c r="L45" s="83"/>
      <c r="M45" s="83"/>
      <c r="N45" s="83"/>
      <c r="O45" s="83"/>
      <c r="P45" s="83"/>
      <c r="Q45" s="83"/>
      <c r="R45" s="83"/>
      <c r="S45" s="83"/>
    </row>
    <row r="46" spans="5:19" ht="15" customHeight="1" x14ac:dyDescent="0.2"/>
    <row r="47" spans="5:19" ht="15" customHeight="1" x14ac:dyDescent="0.2"/>
    <row r="48" spans="5:19" ht="15" customHeight="1" x14ac:dyDescent="0.2"/>
    <row r="49" ht="15" customHeight="1" x14ac:dyDescent="0.2"/>
    <row r="50" ht="15" customHeight="1" x14ac:dyDescent="0.2"/>
    <row r="51" ht="15" customHeight="1" x14ac:dyDescent="0.2"/>
    <row r="52" ht="15" customHeight="1" x14ac:dyDescent="0.2"/>
    <row r="53" ht="15" customHeight="1" x14ac:dyDescent="0.2"/>
    <row r="54" ht="15" customHeight="1" x14ac:dyDescent="0.2"/>
    <row r="55" ht="15" customHeight="1" x14ac:dyDescent="0.2"/>
    <row r="56" ht="15" customHeight="1" x14ac:dyDescent="0.2"/>
    <row r="57" ht="15" customHeight="1" x14ac:dyDescent="0.2"/>
    <row r="58" ht="15" customHeight="1" x14ac:dyDescent="0.2"/>
    <row r="59" ht="15" customHeight="1" x14ac:dyDescent="0.2"/>
    <row r="60" ht="15" customHeight="1" x14ac:dyDescent="0.2"/>
    <row r="61" ht="15" customHeight="1" x14ac:dyDescent="0.2"/>
    <row r="62" ht="15" customHeight="1" x14ac:dyDescent="0.2"/>
    <row r="63" ht="15" customHeight="1" x14ac:dyDescent="0.2"/>
    <row r="64" ht="15" customHeight="1" x14ac:dyDescent="0.2"/>
  </sheetData>
  <scenarios current="0" show="0" sqref="C19">
    <scenario name="Pessimistic" locked="1" count="3" user="Eero Lindholm" comment="Created 6.3.2024">
      <inputCells r="C3" val="11000000" numFmtId="164"/>
      <inputCells r="C9" val="1,8"/>
      <inputCells r="C10" val="0,55" numFmtId="164"/>
    </scenario>
    <scenario name="Optimistic" locked="1" count="3" user="Eero Lindholm" comment="Created 6.3.2024">
      <inputCells r="C3" val="9000000" numFmtId="164"/>
      <inputCells r="C9" val="2,2"/>
      <inputCells r="C10" val="0,5" numFmtId="164"/>
    </scenario>
    <scenario name="Realistic" locked="1" count="3" user="Eero Lindholm" comment="Created 6.3.2024">
      <inputCells r="C3" val="10000000" numFmtId="164"/>
      <inputCells r="C9" val="2"/>
      <inputCells r="C10" val="0,5" numFmtId="164"/>
    </scenario>
  </scenarios>
  <mergeCells count="7">
    <mergeCell ref="E2:S2"/>
    <mergeCell ref="B2:C2"/>
    <mergeCell ref="B18:C18"/>
    <mergeCell ref="E16:F16"/>
    <mergeCell ref="E23:J23"/>
    <mergeCell ref="E29:J29"/>
    <mergeCell ref="E36:L36"/>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4</xdr:col>
                    <xdr:colOff>508000</xdr:colOff>
                    <xdr:row>23</xdr:row>
                    <xdr:rowOff>177800</xdr:rowOff>
                  </from>
                  <to>
                    <xdr:col>4</xdr:col>
                    <xdr:colOff>685800</xdr:colOff>
                    <xdr:row>25</xdr:row>
                    <xdr:rowOff>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4</xdr:col>
                    <xdr:colOff>508000</xdr:colOff>
                    <xdr:row>24</xdr:row>
                    <xdr:rowOff>177800</xdr:rowOff>
                  </from>
                  <to>
                    <xdr:col>4</xdr:col>
                    <xdr:colOff>711200</xdr:colOff>
                    <xdr:row>26</xdr:row>
                    <xdr:rowOff>25400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4</xdr:col>
                    <xdr:colOff>508000</xdr:colOff>
                    <xdr:row>25</xdr:row>
                    <xdr:rowOff>165100</xdr:rowOff>
                  </from>
                  <to>
                    <xdr:col>4</xdr:col>
                    <xdr:colOff>762000</xdr:colOff>
                    <xdr:row>27</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523-6207-4A25-A5B0-CDD224ED48CA}">
  <sheetPr codeName="Sheet2">
    <tabColor theme="0"/>
  </sheetPr>
  <dimension ref="A16:I215"/>
  <sheetViews>
    <sheetView showGridLines="0" view="pageBreakPreview" topLeftCell="A134" zoomScale="130" zoomScaleNormal="100" zoomScaleSheetLayoutView="130" workbookViewId="0">
      <selection activeCell="J23" sqref="J23"/>
    </sheetView>
  </sheetViews>
  <sheetFormatPr baseColWidth="10" defaultColWidth="8.83203125" defaultRowHeight="15" x14ac:dyDescent="0.2"/>
  <cols>
    <col min="1" max="1" width="1.6640625" customWidth="1"/>
    <col min="2" max="2" width="31" customWidth="1"/>
    <col min="3" max="3" width="16.83203125" customWidth="1"/>
    <col min="4" max="4" width="14" customWidth="1"/>
    <col min="5" max="5" width="16.6640625" customWidth="1"/>
    <col min="6" max="6" width="12.1640625" customWidth="1"/>
    <col min="7" max="7" width="14.1640625" customWidth="1"/>
    <col min="8" max="8" width="4.6640625" customWidth="1"/>
    <col min="9" max="9" width="17.5" customWidth="1"/>
  </cols>
  <sheetData>
    <row r="16" ht="16" thickBot="1" x14ac:dyDescent="0.25"/>
    <row r="17" spans="2:3" x14ac:dyDescent="0.2">
      <c r="B17" s="127" t="s">
        <v>32</v>
      </c>
      <c r="C17" s="128"/>
    </row>
    <row r="18" spans="2:3" x14ac:dyDescent="0.2">
      <c r="B18" s="107" t="s">
        <v>0</v>
      </c>
      <c r="C18" s="108">
        <f>'Data &amp; Calculations'!C3</f>
        <v>10000000</v>
      </c>
    </row>
    <row r="19" spans="2:3" x14ac:dyDescent="0.2">
      <c r="B19" s="107" t="s">
        <v>16</v>
      </c>
      <c r="C19" s="109">
        <f>'Data &amp; Calculations'!C4</f>
        <v>769230.76923076925</v>
      </c>
    </row>
    <row r="20" spans="2:3" x14ac:dyDescent="0.2">
      <c r="B20" s="107" t="s">
        <v>19</v>
      </c>
      <c r="C20" s="109">
        <f>'Data &amp; Calculations'!C5</f>
        <v>2</v>
      </c>
    </row>
    <row r="21" spans="2:3" x14ac:dyDescent="0.2">
      <c r="B21" s="107"/>
      <c r="C21" s="109"/>
    </row>
    <row r="22" spans="2:3" x14ac:dyDescent="0.2">
      <c r="B22" s="107" t="s">
        <v>26</v>
      </c>
      <c r="C22" s="109">
        <f>'Data &amp; Calculations'!C7</f>
        <v>1000000</v>
      </c>
    </row>
    <row r="23" spans="2:3" x14ac:dyDescent="0.2">
      <c r="B23" s="107" t="s">
        <v>27</v>
      </c>
      <c r="C23" s="110">
        <f>'Data &amp; Calculations'!C8</f>
        <v>1500000</v>
      </c>
    </row>
    <row r="24" spans="2:3" x14ac:dyDescent="0.2">
      <c r="B24" s="107" t="s">
        <v>20</v>
      </c>
      <c r="C24" s="109">
        <f>'Data &amp; Calculations'!C9</f>
        <v>2</v>
      </c>
    </row>
    <row r="25" spans="2:3" x14ac:dyDescent="0.2">
      <c r="B25" s="107" t="s">
        <v>44</v>
      </c>
      <c r="C25" s="108">
        <f>'Data &amp; Calculations'!C10</f>
        <v>0.5</v>
      </c>
    </row>
    <row r="26" spans="2:3" x14ac:dyDescent="0.2">
      <c r="B26" s="107"/>
      <c r="C26" s="109"/>
    </row>
    <row r="27" spans="2:3" x14ac:dyDescent="0.2">
      <c r="B27" s="107" t="s">
        <v>2</v>
      </c>
      <c r="C27" s="109">
        <f>'Data &amp; Calculations'!C12</f>
        <v>0.2</v>
      </c>
    </row>
    <row r="28" spans="2:3" x14ac:dyDescent="0.2">
      <c r="B28" s="107" t="s">
        <v>3</v>
      </c>
      <c r="C28" s="109">
        <f>'Data &amp; Calculations'!C13</f>
        <v>0.04</v>
      </c>
    </row>
    <row r="29" spans="2:3" x14ac:dyDescent="0.2">
      <c r="B29" s="107" t="s">
        <v>22</v>
      </c>
      <c r="C29" s="109">
        <f>'Data &amp; Calculations'!C14</f>
        <v>0.1</v>
      </c>
    </row>
    <row r="30" spans="2:3" x14ac:dyDescent="0.2">
      <c r="B30" s="107" t="s">
        <v>23</v>
      </c>
      <c r="C30" s="109">
        <f>'Data &amp; Calculations'!C15</f>
        <v>5.7692307692307709E-2</v>
      </c>
    </row>
    <row r="31" spans="2:3" ht="16" thickBot="1" x14ac:dyDescent="0.25">
      <c r="B31" s="59" t="s">
        <v>4</v>
      </c>
      <c r="C31" s="111">
        <f>'Data &amp; Calculations'!C16</f>
        <v>50000</v>
      </c>
    </row>
    <row r="32" spans="2:3" ht="16" thickBot="1" x14ac:dyDescent="0.25"/>
    <row r="33" spans="2:6" x14ac:dyDescent="0.2">
      <c r="B33" s="129" t="s">
        <v>5</v>
      </c>
      <c r="C33" s="130"/>
    </row>
    <row r="34" spans="2:6" x14ac:dyDescent="0.2">
      <c r="B34" s="70" t="s">
        <v>7</v>
      </c>
      <c r="C34" s="78">
        <f>'Data &amp; Calculations'!C19</f>
        <v>4796857.7214186396</v>
      </c>
    </row>
    <row r="35" spans="2:6" x14ac:dyDescent="0.2">
      <c r="B35" s="70" t="s">
        <v>8</v>
      </c>
      <c r="C35" s="99">
        <f>'Data &amp; Calculations'!C20</f>
        <v>0.12540521045215058</v>
      </c>
    </row>
    <row r="36" spans="2:6" x14ac:dyDescent="0.2">
      <c r="B36" s="70" t="s">
        <v>9</v>
      </c>
      <c r="C36" s="100">
        <f>'Data &amp; Calculations'!C21</f>
        <v>1.4796857721418639</v>
      </c>
    </row>
    <row r="37" spans="2:6" ht="16" thickBot="1" x14ac:dyDescent="0.25">
      <c r="B37" s="72" t="s">
        <v>10</v>
      </c>
      <c r="C37" s="101">
        <f>'Data &amp; Calculations'!C22</f>
        <v>10</v>
      </c>
    </row>
    <row r="38" spans="2:6" ht="16" thickBot="1" x14ac:dyDescent="0.25"/>
    <row r="39" spans="2:6" x14ac:dyDescent="0.2">
      <c r="B39" s="131" t="s">
        <v>51</v>
      </c>
      <c r="C39" s="132"/>
      <c r="D39" s="132"/>
      <c r="E39" s="133"/>
      <c r="F39" s="54"/>
    </row>
    <row r="40" spans="2:6" x14ac:dyDescent="0.2">
      <c r="B40" s="70"/>
      <c r="C40" s="112" t="s">
        <v>28</v>
      </c>
      <c r="D40" s="114"/>
      <c r="E40" s="102" t="s">
        <v>29</v>
      </c>
      <c r="F40" s="49"/>
    </row>
    <row r="41" spans="2:6" x14ac:dyDescent="0.2">
      <c r="B41" s="70" t="s">
        <v>0</v>
      </c>
      <c r="C41" s="96">
        <v>10000000</v>
      </c>
      <c r="D41" s="103"/>
      <c r="E41" s="78">
        <f>'Data &amp; Calculations'!H38</f>
        <v>0</v>
      </c>
      <c r="F41" s="34"/>
    </row>
    <row r="42" spans="2:6" x14ac:dyDescent="0.2">
      <c r="B42" s="70" t="s">
        <v>30</v>
      </c>
      <c r="C42" s="113">
        <v>1500000</v>
      </c>
      <c r="D42" s="48"/>
      <c r="E42" s="87">
        <f>'Data &amp; Calculations'!H39</f>
        <v>0</v>
      </c>
      <c r="F42" s="50"/>
    </row>
    <row r="43" spans="2:6" ht="16" thickBot="1" x14ac:dyDescent="0.25">
      <c r="B43" s="72" t="s">
        <v>1</v>
      </c>
      <c r="C43" s="97">
        <v>0.5</v>
      </c>
      <c r="D43" s="76"/>
      <c r="E43" s="98">
        <f>'Data &amp; Calculations'!H40</f>
        <v>0</v>
      </c>
      <c r="F43" s="34"/>
    </row>
    <row r="118" spans="1:9" x14ac:dyDescent="0.2">
      <c r="A118" s="48"/>
      <c r="B118" s="48"/>
      <c r="C118" s="48"/>
      <c r="D118" s="48"/>
      <c r="E118" s="48"/>
      <c r="F118" s="48"/>
      <c r="G118" s="48"/>
      <c r="H118" s="48"/>
    </row>
    <row r="119" spans="1:9" x14ac:dyDescent="0.2">
      <c r="A119" s="48"/>
      <c r="B119" s="48"/>
      <c r="C119" s="48"/>
      <c r="D119" s="48"/>
      <c r="E119" s="48"/>
      <c r="F119" s="48"/>
      <c r="G119" s="48"/>
      <c r="H119" s="48"/>
      <c r="I119" s="47"/>
    </row>
    <row r="120" spans="1:9" x14ac:dyDescent="0.2">
      <c r="A120" s="48"/>
      <c r="B120" s="48"/>
      <c r="C120" s="48"/>
      <c r="D120" s="48"/>
      <c r="E120" s="53"/>
      <c r="F120" s="53"/>
      <c r="G120" s="53"/>
      <c r="H120" s="48"/>
      <c r="I120" s="47"/>
    </row>
    <row r="121" spans="1:9" x14ac:dyDescent="0.2">
      <c r="A121" s="48"/>
      <c r="B121" s="48"/>
      <c r="C121" s="48"/>
      <c r="D121" s="48"/>
      <c r="E121" s="48"/>
      <c r="F121" s="48"/>
      <c r="G121" s="48"/>
      <c r="H121" s="48"/>
      <c r="I121" s="47"/>
    </row>
    <row r="122" spans="1:9" x14ac:dyDescent="0.2">
      <c r="A122" s="48"/>
      <c r="B122" s="48"/>
      <c r="C122" s="48"/>
      <c r="D122" s="48"/>
      <c r="E122" s="48"/>
      <c r="F122" s="48"/>
      <c r="G122" s="48"/>
      <c r="H122" s="48"/>
      <c r="I122" s="47"/>
    </row>
    <row r="123" spans="1:9" x14ac:dyDescent="0.2">
      <c r="A123" s="48"/>
      <c r="B123" s="48"/>
      <c r="C123" s="48"/>
      <c r="D123" s="48"/>
      <c r="E123" s="48"/>
      <c r="F123" s="48"/>
      <c r="G123" s="48"/>
      <c r="H123" s="48"/>
      <c r="I123" s="47"/>
    </row>
    <row r="124" spans="1:9" x14ac:dyDescent="0.2">
      <c r="A124" s="48"/>
      <c r="B124" s="48"/>
      <c r="C124" s="48"/>
      <c r="D124" s="48"/>
      <c r="E124" s="48"/>
      <c r="F124" s="48"/>
      <c r="G124" s="48"/>
      <c r="H124" s="48"/>
      <c r="I124" s="47"/>
    </row>
    <row r="125" spans="1:9" x14ac:dyDescent="0.2">
      <c r="A125" s="48"/>
      <c r="B125" s="48"/>
      <c r="C125" s="48"/>
      <c r="D125" s="48"/>
      <c r="E125" s="48"/>
      <c r="F125" s="48"/>
      <c r="G125" s="48"/>
      <c r="H125" s="48"/>
      <c r="I125" s="47"/>
    </row>
    <row r="126" spans="1:9" ht="16" thickBot="1" x14ac:dyDescent="0.25">
      <c r="A126" s="48"/>
      <c r="B126" s="48"/>
      <c r="C126" s="48"/>
      <c r="D126" s="48"/>
      <c r="E126" s="48"/>
      <c r="F126" s="48"/>
      <c r="G126" s="48"/>
      <c r="H126" s="48"/>
      <c r="I126" s="47"/>
    </row>
    <row r="127" spans="1:9" x14ac:dyDescent="0.2">
      <c r="A127" s="48"/>
      <c r="B127" s="188" t="s">
        <v>120</v>
      </c>
      <c r="C127" s="189" t="s">
        <v>121</v>
      </c>
      <c r="G127" s="51"/>
      <c r="H127" s="48"/>
      <c r="I127" s="47"/>
    </row>
    <row r="128" spans="1:9" x14ac:dyDescent="0.2">
      <c r="A128" s="48"/>
      <c r="B128" s="183" t="s">
        <v>43</v>
      </c>
      <c r="C128" s="184" t="str" cm="1">
        <f t="array" ref="C128">_xlfn.IFS('Data &amp; Calculations'!E24=1,"Pessimistic",'Data &amp; Calculations'!E24=2,"Realistic",'Data &amp; Calculations'!E24=3,"Optimistic")</f>
        <v>Realistic</v>
      </c>
      <c r="G128" s="48"/>
      <c r="H128" s="48"/>
      <c r="I128" s="47"/>
    </row>
    <row r="129" spans="1:9" x14ac:dyDescent="0.2">
      <c r="A129" s="48"/>
      <c r="B129" s="183" t="s">
        <v>0</v>
      </c>
      <c r="C129" s="185" cm="1">
        <f t="array" ref="C129">_xlfn.IFS($C$128="Pessimistic",'Data &amp; Calculations'!H25,$C$128="Realistic",'Data &amp; Calculations'!H26,$C$128="Optimistic",'Data &amp; Calculations'!H27)</f>
        <v>10000000</v>
      </c>
      <c r="G129" s="48"/>
      <c r="H129" s="48"/>
      <c r="I129" s="47"/>
    </row>
    <row r="130" spans="1:9" x14ac:dyDescent="0.2">
      <c r="A130" s="48"/>
      <c r="B130" s="183" t="s">
        <v>20</v>
      </c>
      <c r="C130" s="185" cm="1">
        <f t="array" ref="C130">_xlfn.IFS($C$128="Pessimistic",'Data &amp; Calculations'!I25,$C$128="Realistic",'Data &amp; Calculations'!I26,$C$128="Optimistic",'Data &amp; Calculations'!I27)</f>
        <v>2</v>
      </c>
      <c r="G130" s="48"/>
      <c r="H130" s="48"/>
      <c r="I130" s="47"/>
    </row>
    <row r="131" spans="1:9" ht="16" thickBot="1" x14ac:dyDescent="0.25">
      <c r="A131" s="48"/>
      <c r="B131" s="186" t="s">
        <v>44</v>
      </c>
      <c r="C131" s="187" cm="1">
        <f t="array" ref="C131">_xlfn.IFS($C$128="Pessimistic",'Data &amp; Calculations'!J25,$C$128="Realistic",'Data &amp; Calculations'!J26,$C$128="Optimistic",'Data &amp; Calculations'!J27)</f>
        <v>0.5</v>
      </c>
      <c r="G131" s="48"/>
      <c r="H131" s="48"/>
      <c r="I131" s="47"/>
    </row>
    <row r="132" spans="1:9" ht="16" thickBot="1" x14ac:dyDescent="0.25">
      <c r="A132" s="48"/>
      <c r="B132" s="48"/>
      <c r="C132" s="48"/>
      <c r="D132" s="48"/>
      <c r="E132" s="48"/>
      <c r="F132" s="48"/>
      <c r="G132" s="48"/>
      <c r="H132" s="48"/>
      <c r="I132" s="47"/>
    </row>
    <row r="133" spans="1:9" ht="16" thickBot="1" x14ac:dyDescent="0.25">
      <c r="A133" s="48"/>
      <c r="B133" s="191" t="s">
        <v>7</v>
      </c>
      <c r="C133" s="190">
        <f>'Data &amp; Calculations'!C19</f>
        <v>4796857.7214186396</v>
      </c>
      <c r="D133" s="48"/>
      <c r="E133" s="48"/>
      <c r="F133" s="48"/>
      <c r="G133" s="48"/>
      <c r="H133" s="48"/>
      <c r="I133" s="47"/>
    </row>
    <row r="134" spans="1:9" x14ac:dyDescent="0.2">
      <c r="A134" s="48"/>
      <c r="D134" s="48"/>
      <c r="E134" s="48"/>
      <c r="F134" s="48"/>
      <c r="G134" s="48"/>
      <c r="H134" s="48"/>
      <c r="I134" s="47"/>
    </row>
    <row r="135" spans="1:9" x14ac:dyDescent="0.2">
      <c r="A135" s="48"/>
      <c r="D135" s="48"/>
      <c r="E135" s="48"/>
      <c r="F135" s="48"/>
      <c r="G135" s="48"/>
      <c r="H135" s="48"/>
      <c r="I135" s="47"/>
    </row>
    <row r="136" spans="1:9" x14ac:dyDescent="0.2">
      <c r="A136" s="48"/>
      <c r="D136" s="48"/>
      <c r="E136" s="48"/>
      <c r="F136" s="48"/>
      <c r="G136" s="48"/>
      <c r="H136" s="48"/>
      <c r="I136" s="47"/>
    </row>
    <row r="137" spans="1:9" x14ac:dyDescent="0.2">
      <c r="A137" s="48"/>
      <c r="D137" s="48"/>
      <c r="E137" s="48"/>
      <c r="F137" s="48"/>
      <c r="G137" s="48"/>
      <c r="H137" s="48"/>
      <c r="I137" s="47"/>
    </row>
    <row r="138" spans="1:9" x14ac:dyDescent="0.2">
      <c r="A138" s="48"/>
      <c r="B138" s="48"/>
      <c r="C138" s="48"/>
      <c r="D138" s="48"/>
      <c r="E138" s="48"/>
      <c r="F138" s="48"/>
      <c r="G138" s="48"/>
      <c r="H138" s="48"/>
      <c r="I138" s="47"/>
    </row>
    <row r="139" spans="1:9" x14ac:dyDescent="0.2">
      <c r="A139" s="48"/>
      <c r="B139" s="48"/>
      <c r="C139" s="48"/>
      <c r="D139" s="48"/>
      <c r="E139" s="48"/>
      <c r="F139" s="48"/>
      <c r="G139" s="48"/>
      <c r="H139" s="48"/>
      <c r="I139" s="47"/>
    </row>
    <row r="140" spans="1:9" x14ac:dyDescent="0.2">
      <c r="A140" s="48"/>
      <c r="B140" s="48"/>
      <c r="C140" s="48"/>
      <c r="D140" s="48"/>
      <c r="E140" s="48"/>
      <c r="F140" s="48"/>
      <c r="G140" s="48"/>
      <c r="H140" s="48"/>
      <c r="I140" s="47"/>
    </row>
    <row r="141" spans="1:9" x14ac:dyDescent="0.2">
      <c r="A141" s="48"/>
      <c r="B141" s="48"/>
      <c r="C141" s="48"/>
      <c r="D141" s="48"/>
      <c r="E141" s="48"/>
      <c r="F141" s="48"/>
      <c r="G141" s="48"/>
      <c r="H141" s="48"/>
      <c r="I141" s="47"/>
    </row>
    <row r="142" spans="1:9" x14ac:dyDescent="0.2">
      <c r="A142" s="48"/>
      <c r="B142" s="48"/>
      <c r="C142" s="48"/>
      <c r="D142" s="48"/>
      <c r="E142" s="48"/>
      <c r="F142" s="48"/>
      <c r="G142" s="48"/>
      <c r="H142" s="48"/>
      <c r="I142" s="47"/>
    </row>
    <row r="143" spans="1:9" x14ac:dyDescent="0.2">
      <c r="A143" s="48"/>
      <c r="B143" s="48"/>
      <c r="C143" s="48"/>
      <c r="D143" s="48"/>
      <c r="E143" s="48"/>
      <c r="F143" s="48"/>
      <c r="G143" s="48"/>
      <c r="H143" s="48"/>
      <c r="I143" s="47"/>
    </row>
    <row r="144" spans="1:9" x14ac:dyDescent="0.2">
      <c r="A144" s="48"/>
      <c r="B144" s="48"/>
      <c r="C144" s="48"/>
      <c r="D144" s="48"/>
      <c r="E144" s="48"/>
      <c r="F144" s="48"/>
      <c r="G144" s="48"/>
      <c r="H144" s="48"/>
      <c r="I144" s="47"/>
    </row>
    <row r="145" spans="1:9" x14ac:dyDescent="0.2">
      <c r="A145" s="48"/>
      <c r="B145" s="48"/>
      <c r="C145" s="48"/>
      <c r="D145" s="48"/>
      <c r="E145" s="48"/>
      <c r="F145" s="48"/>
      <c r="G145" s="48"/>
      <c r="H145" s="48"/>
      <c r="I145" s="47"/>
    </row>
    <row r="146" spans="1:9" x14ac:dyDescent="0.2">
      <c r="A146" s="48"/>
      <c r="B146" s="48"/>
      <c r="C146" s="48"/>
      <c r="D146" s="48"/>
      <c r="E146" s="48"/>
      <c r="F146" s="48"/>
      <c r="G146" s="48"/>
      <c r="H146" s="48"/>
      <c r="I146" s="47"/>
    </row>
    <row r="147" spans="1:9" x14ac:dyDescent="0.2">
      <c r="A147" s="48"/>
      <c r="B147" s="48"/>
      <c r="C147" s="48"/>
      <c r="D147" s="48"/>
      <c r="E147" s="48"/>
      <c r="F147" s="48"/>
      <c r="G147" s="48"/>
      <c r="H147" s="48"/>
      <c r="I147" s="47"/>
    </row>
    <row r="148" spans="1:9" x14ac:dyDescent="0.2">
      <c r="A148" s="48"/>
      <c r="B148" s="48"/>
      <c r="C148" s="48"/>
      <c r="D148" s="48"/>
      <c r="E148" s="48"/>
      <c r="F148" s="48"/>
      <c r="G148" s="48"/>
      <c r="H148" s="48"/>
      <c r="I148" s="47"/>
    </row>
    <row r="149" spans="1:9" x14ac:dyDescent="0.2">
      <c r="A149" s="48"/>
      <c r="B149" s="48"/>
      <c r="C149" s="48"/>
      <c r="D149" s="48"/>
      <c r="E149" s="48"/>
      <c r="F149" s="48"/>
      <c r="G149" s="48"/>
      <c r="H149" s="48"/>
      <c r="I149" s="47"/>
    </row>
    <row r="150" spans="1:9" x14ac:dyDescent="0.2">
      <c r="A150" s="48"/>
      <c r="B150" s="48"/>
      <c r="C150" s="48"/>
      <c r="D150" s="48"/>
      <c r="E150" s="48"/>
      <c r="F150" s="48"/>
      <c r="G150" s="48"/>
      <c r="H150" s="48"/>
      <c r="I150" s="47"/>
    </row>
    <row r="151" spans="1:9" x14ac:dyDescent="0.2">
      <c r="A151" s="48"/>
      <c r="B151" s="48"/>
      <c r="C151" s="48"/>
      <c r="D151" s="48"/>
      <c r="E151" s="48"/>
      <c r="F151" s="48"/>
      <c r="G151" s="48"/>
      <c r="H151" s="48"/>
    </row>
    <row r="152" spans="1:9" x14ac:dyDescent="0.2">
      <c r="A152" s="48"/>
      <c r="B152" s="48"/>
      <c r="C152" s="48"/>
      <c r="D152" s="48"/>
      <c r="E152" s="48"/>
      <c r="F152" s="48"/>
      <c r="G152" s="48"/>
      <c r="H152" s="48"/>
    </row>
    <row r="182" spans="2:4" ht="16" thickBot="1" x14ac:dyDescent="0.25"/>
    <row r="183" spans="2:4" x14ac:dyDescent="0.2">
      <c r="B183" s="62" t="s">
        <v>49</v>
      </c>
      <c r="C183" s="79" t="s">
        <v>53</v>
      </c>
      <c r="D183" s="80" t="s">
        <v>54</v>
      </c>
    </row>
    <row r="184" spans="2:4" x14ac:dyDescent="0.2">
      <c r="B184" s="70" t="s">
        <v>0</v>
      </c>
      <c r="C184" s="48">
        <f>MC_sim!C3</f>
        <v>7000000</v>
      </c>
      <c r="D184" s="71">
        <f>MC_sim!D3</f>
        <v>13000000</v>
      </c>
    </row>
    <row r="185" spans="2:4" x14ac:dyDescent="0.2">
      <c r="B185" s="70" t="s">
        <v>26</v>
      </c>
      <c r="C185" s="48">
        <f>MC_sim!C4</f>
        <v>500000</v>
      </c>
      <c r="D185" s="71">
        <f>MC_sim!D4</f>
        <v>1500000</v>
      </c>
    </row>
    <row r="186" spans="2:4" x14ac:dyDescent="0.2">
      <c r="B186" s="70" t="s">
        <v>27</v>
      </c>
      <c r="C186" s="48">
        <f>MC_sim!C5</f>
        <v>1000000</v>
      </c>
      <c r="D186" s="71">
        <f>MC_sim!D5</f>
        <v>2000000</v>
      </c>
    </row>
    <row r="187" spans="2:4" x14ac:dyDescent="0.2">
      <c r="B187" s="70" t="s">
        <v>20</v>
      </c>
      <c r="C187" s="48">
        <f>MC_sim!C6</f>
        <v>1.5</v>
      </c>
      <c r="D187" s="71">
        <f>MC_sim!D6</f>
        <v>2.5</v>
      </c>
    </row>
    <row r="188" spans="2:4" ht="16" thickBot="1" x14ac:dyDescent="0.25">
      <c r="B188" s="72" t="s">
        <v>44</v>
      </c>
      <c r="C188" s="76">
        <f>MC_sim!C7</f>
        <v>0.4</v>
      </c>
      <c r="D188" s="73">
        <f>MC_sim!D7</f>
        <v>0.7</v>
      </c>
    </row>
    <row r="207" spans="2:3" ht="16" thickBot="1" x14ac:dyDescent="0.25"/>
    <row r="208" spans="2:3" x14ac:dyDescent="0.2">
      <c r="B208" s="138" t="s">
        <v>67</v>
      </c>
      <c r="C208" s="139"/>
    </row>
    <row r="209" spans="2:3" x14ac:dyDescent="0.2">
      <c r="B209" s="70" t="s">
        <v>68</v>
      </c>
      <c r="C209" s="78">
        <f>MC_sim!C15</f>
        <v>3938000</v>
      </c>
    </row>
    <row r="210" spans="2:3" ht="15" customHeight="1" x14ac:dyDescent="0.2">
      <c r="B210" s="70" t="s">
        <v>69</v>
      </c>
      <c r="C210" s="78">
        <f>MC_sim!C16</f>
        <v>-4026996.3411847637</v>
      </c>
    </row>
    <row r="211" spans="2:3" x14ac:dyDescent="0.2">
      <c r="B211" s="70" t="s">
        <v>70</v>
      </c>
      <c r="C211" s="78">
        <f>MC_sim!C17</f>
        <v>13315697.660650847</v>
      </c>
    </row>
    <row r="212" spans="2:3" ht="15" customHeight="1" x14ac:dyDescent="0.2">
      <c r="B212" s="117" t="s">
        <v>71</v>
      </c>
      <c r="C212" s="118">
        <f>MC_sim!C18</f>
        <v>0.12</v>
      </c>
    </row>
    <row r="213" spans="2:3" x14ac:dyDescent="0.2">
      <c r="B213" s="117"/>
      <c r="C213" s="118"/>
    </row>
    <row r="214" spans="2:3" ht="16" x14ac:dyDescent="0.2">
      <c r="B214" s="117" t="s">
        <v>72</v>
      </c>
      <c r="C214" s="118">
        <f>MC_sim!C20</f>
        <v>0.88</v>
      </c>
    </row>
    <row r="215" spans="2:3" ht="16" thickBot="1" x14ac:dyDescent="0.25">
      <c r="B215" s="119"/>
      <c r="C215" s="120"/>
    </row>
  </sheetData>
  <mergeCells count="4">
    <mergeCell ref="B17:C17"/>
    <mergeCell ref="B33:C33"/>
    <mergeCell ref="B39:E39"/>
    <mergeCell ref="B208:C208"/>
  </mergeCells>
  <pageMargins left="0.7" right="0.7" top="0.75" bottom="0.75" header="0.3" footer="0.3"/>
  <pageSetup paperSize="9" scale="87" orientation="portrait" verticalDpi="0" r:id="rId1"/>
  <ignoredErrors>
    <ignoredError xmlns:x16r3="http://schemas.microsoft.com/office/spreadsheetml/2018/08/main" sqref="C133" x16r3:misleadingFormat="1"/>
  </ignoredError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D8AE1-0005-498E-A962-A2F45902D0BB}">
  <sheetPr codeName="Sheet3">
    <tabColor rgb="FF00B050"/>
  </sheetPr>
  <dimension ref="A1:Y31"/>
  <sheetViews>
    <sheetView workbookViewId="0">
      <selection activeCell="L41" sqref="L41"/>
    </sheetView>
  </sheetViews>
  <sheetFormatPr baseColWidth="10" defaultColWidth="8.83203125" defaultRowHeight="15" x14ac:dyDescent="0.2"/>
  <cols>
    <col min="1" max="1" width="25.5" customWidth="1"/>
    <col min="3" max="13" width="11.83203125" customWidth="1"/>
    <col min="15" max="25" width="6.1640625" bestFit="1" customWidth="1"/>
  </cols>
  <sheetData>
    <row r="1" spans="1:25" x14ac:dyDescent="0.2">
      <c r="C1" s="140" t="s">
        <v>7</v>
      </c>
      <c r="D1" s="140"/>
      <c r="E1" s="140"/>
      <c r="F1" s="140"/>
      <c r="G1" s="140"/>
      <c r="H1" s="140"/>
      <c r="I1" s="140"/>
      <c r="J1" s="140"/>
      <c r="K1" s="140"/>
      <c r="L1" s="140"/>
      <c r="M1" s="140"/>
      <c r="O1" s="140" t="s">
        <v>8</v>
      </c>
      <c r="P1" s="140"/>
      <c r="Q1" s="140"/>
      <c r="R1" s="140"/>
      <c r="S1" s="140"/>
      <c r="T1" s="140"/>
      <c r="U1" s="140"/>
      <c r="V1" s="140"/>
      <c r="W1" s="140"/>
      <c r="X1" s="140"/>
      <c r="Y1" s="140"/>
    </row>
    <row r="2" spans="1:25" x14ac:dyDescent="0.2">
      <c r="A2" s="23" t="s">
        <v>35</v>
      </c>
      <c r="C2" s="24">
        <v>-0.5</v>
      </c>
      <c r="D2" s="24">
        <v>-0.4</v>
      </c>
      <c r="E2" s="24">
        <v>-0.3</v>
      </c>
      <c r="F2" s="24">
        <v>-0.2</v>
      </c>
      <c r="G2" s="24">
        <v>-0.1</v>
      </c>
      <c r="H2" s="24">
        <v>0</v>
      </c>
      <c r="I2" s="24">
        <v>0.1</v>
      </c>
      <c r="J2" s="24">
        <v>0.2</v>
      </c>
      <c r="K2" s="24">
        <v>0.3</v>
      </c>
      <c r="L2" s="24">
        <v>0.4</v>
      </c>
      <c r="M2" s="24">
        <v>0.5</v>
      </c>
      <c r="O2" s="24">
        <v>-0.5</v>
      </c>
      <c r="P2" s="24">
        <v>-0.4</v>
      </c>
      <c r="Q2" s="24">
        <v>-0.3</v>
      </c>
      <c r="R2" s="24">
        <v>-0.2</v>
      </c>
      <c r="S2" s="24">
        <v>-0.1</v>
      </c>
      <c r="T2" s="24">
        <v>0</v>
      </c>
      <c r="U2" s="24">
        <v>0.1</v>
      </c>
      <c r="V2" s="24">
        <v>0.2</v>
      </c>
      <c r="W2" s="24">
        <v>0.3</v>
      </c>
      <c r="X2" s="24">
        <v>0.4</v>
      </c>
      <c r="Y2" s="24">
        <v>0.5</v>
      </c>
    </row>
    <row r="3" spans="1:25" x14ac:dyDescent="0.2">
      <c r="A3" s="25" t="s">
        <v>0</v>
      </c>
      <c r="B3" s="26">
        <v>1</v>
      </c>
      <c r="C3" s="27">
        <v>8712498.8279852439</v>
      </c>
      <c r="D3" s="27">
        <v>7739771.5552579723</v>
      </c>
      <c r="E3" s="27">
        <v>6767044.2825306989</v>
      </c>
      <c r="F3" s="27">
        <v>5794317.0098034274</v>
      </c>
      <c r="G3" s="27">
        <v>4821589.7370761558</v>
      </c>
      <c r="H3" s="28">
        <f>'Data &amp; Calculations'!$C$19</f>
        <v>4796857.7214186396</v>
      </c>
      <c r="I3" s="27">
        <v>2876135.191621609</v>
      </c>
      <c r="J3" s="27">
        <v>1903407.9188943356</v>
      </c>
      <c r="K3" s="27">
        <v>930680.64616706141</v>
      </c>
      <c r="L3" s="27">
        <v>-42046.626560213743</v>
      </c>
      <c r="M3" s="27">
        <v>-1014773.8992874853</v>
      </c>
      <c r="N3" s="29"/>
      <c r="O3" s="30">
        <v>0.25973794787301085</v>
      </c>
      <c r="P3" s="30">
        <v>0.21612288322727591</v>
      </c>
      <c r="Q3" s="30">
        <v>0.18233810948897289</v>
      </c>
      <c r="R3" s="30">
        <v>0.15508734629902698</v>
      </c>
      <c r="S3" s="30">
        <v>0.13244228280550607</v>
      </c>
      <c r="T3" s="31">
        <f>'Data &amp; Calculations'!$C$20</f>
        <v>0.12540521045215058</v>
      </c>
      <c r="U3" s="30">
        <v>9.6527285945511077E-2</v>
      </c>
      <c r="V3" s="30">
        <v>8.1893365771204429E-2</v>
      </c>
      <c r="W3" s="30">
        <v>6.88873121152489E-2</v>
      </c>
      <c r="X3" s="30">
        <v>5.7211904693033944E-2</v>
      </c>
      <c r="Y3" s="30">
        <v>4.664171799605521E-2</v>
      </c>
    </row>
    <row r="4" spans="1:25" x14ac:dyDescent="0.2">
      <c r="A4" s="25" t="s">
        <v>26</v>
      </c>
      <c r="B4" s="26">
        <v>1</v>
      </c>
      <c r="C4" s="27">
        <v>4468144.3236754285</v>
      </c>
      <c r="D4" s="27">
        <v>4344287.9518101187</v>
      </c>
      <c r="E4" s="27">
        <v>4220431.579944809</v>
      </c>
      <c r="F4" s="27">
        <v>4096575.2080795001</v>
      </c>
      <c r="G4" s="27">
        <v>3972718.8362141894</v>
      </c>
      <c r="H4" s="28">
        <f>'Data &amp; Calculations'!$C$19</f>
        <v>4796857.7214186396</v>
      </c>
      <c r="I4" s="27">
        <v>3725006.0924835699</v>
      </c>
      <c r="J4" s="27">
        <v>3601149.7206182592</v>
      </c>
      <c r="K4" s="27">
        <v>3477293.3487529494</v>
      </c>
      <c r="L4" s="27">
        <v>3353436.9768876396</v>
      </c>
      <c r="M4" s="27">
        <v>3229580.6050223308</v>
      </c>
      <c r="N4" s="29"/>
      <c r="O4" s="32">
        <v>0.12339101408465947</v>
      </c>
      <c r="P4" s="32">
        <v>0.12132140146865433</v>
      </c>
      <c r="Q4" s="32">
        <v>0.11926659742977419</v>
      </c>
      <c r="R4" s="32">
        <v>0.11722656810269494</v>
      </c>
      <c r="S4" s="32">
        <v>0.11520127627609722</v>
      </c>
      <c r="T4" s="31">
        <f>'Data &amp; Calculations'!$C$20</f>
        <v>0.12540521045215058</v>
      </c>
      <c r="U4" s="32">
        <v>0.11119474010934449</v>
      </c>
      <c r="V4" s="32">
        <v>0.10921340546063441</v>
      </c>
      <c r="W4" s="32">
        <v>0.1072466278864177</v>
      </c>
      <c r="X4" s="32">
        <v>0.10529435486243899</v>
      </c>
      <c r="Y4" s="32">
        <v>0.1033565310902631</v>
      </c>
    </row>
    <row r="5" spans="1:25" x14ac:dyDescent="0.2">
      <c r="A5" s="25" t="s">
        <v>27</v>
      </c>
      <c r="B5" s="26">
        <v>1</v>
      </c>
      <c r="C5" s="27">
        <v>5858112.9087157585</v>
      </c>
      <c r="D5" s="27">
        <v>5456262.8198423833</v>
      </c>
      <c r="E5" s="27">
        <v>5054412.730969009</v>
      </c>
      <c r="F5" s="27">
        <v>4652562.6420956338</v>
      </c>
      <c r="G5" s="27">
        <v>4250712.5532222576</v>
      </c>
      <c r="H5" s="28">
        <f>'Data &amp; Calculations'!$C$19</f>
        <v>4796857.7214186396</v>
      </c>
      <c r="I5" s="27">
        <v>3447012.3754755063</v>
      </c>
      <c r="J5" s="27">
        <v>3045162.2866021283</v>
      </c>
      <c r="K5" s="27">
        <v>2643312.1977287531</v>
      </c>
      <c r="L5" s="27">
        <v>2241462.1088553756</v>
      </c>
      <c r="M5" s="27">
        <v>1839612.0199819992</v>
      </c>
      <c r="N5" s="29"/>
      <c r="O5" s="32">
        <v>0.1360820091636552</v>
      </c>
      <c r="P5" s="32">
        <v>0.13174192482222447</v>
      </c>
      <c r="Q5" s="32">
        <v>0.12729003139938611</v>
      </c>
      <c r="R5" s="32">
        <v>0.12271940386155245</v>
      </c>
      <c r="S5" s="32">
        <v>0.1180224237324341</v>
      </c>
      <c r="T5" s="31">
        <f>'Data &amp; Calculations'!$C$20</f>
        <v>0.12540521045215058</v>
      </c>
      <c r="U5" s="32">
        <v>0.10821486095801669</v>
      </c>
      <c r="V5" s="32">
        <v>0.10308460162749777</v>
      </c>
      <c r="W5" s="32">
        <v>9.7788333443742603E-2</v>
      </c>
      <c r="X5" s="32">
        <v>9.2313077325123061E-2</v>
      </c>
      <c r="Y5" s="32">
        <v>8.6644202341469523E-2</v>
      </c>
    </row>
    <row r="6" spans="1:25" x14ac:dyDescent="0.2">
      <c r="A6" s="25" t="s">
        <v>20</v>
      </c>
      <c r="B6" s="26">
        <v>1</v>
      </c>
      <c r="C6" s="27">
        <v>-4769276.2362853158</v>
      </c>
      <c r="D6" s="27">
        <v>-3045648.4961584779</v>
      </c>
      <c r="E6" s="27">
        <v>-1322020.7560316396</v>
      </c>
      <c r="F6" s="27">
        <v>401606.98409519962</v>
      </c>
      <c r="G6" s="27">
        <v>2125234.7242220361</v>
      </c>
      <c r="H6" s="28">
        <f>'Data &amp; Calculations'!$C$19</f>
        <v>4796857.7214186396</v>
      </c>
      <c r="I6" s="27">
        <v>5572490.2044757111</v>
      </c>
      <c r="J6" s="27">
        <v>7296117.94460255</v>
      </c>
      <c r="K6" s="27">
        <v>9019745.6847293917</v>
      </c>
      <c r="L6" s="27">
        <v>10743373.424856232</v>
      </c>
      <c r="M6" s="27">
        <v>12467001.164983071</v>
      </c>
      <c r="N6" s="29"/>
      <c r="O6" s="32">
        <v>-3.4814508886920281E-2</v>
      </c>
      <c r="P6" s="32">
        <v>3.3136141485945458E-3</v>
      </c>
      <c r="Q6" s="32">
        <v>3.5615614176365051E-2</v>
      </c>
      <c r="R6" s="32">
        <v>6.4032891274407033E-2</v>
      </c>
      <c r="S6" s="32">
        <v>8.9663484938351079E-2</v>
      </c>
      <c r="T6" s="31">
        <f>'Data &amp; Calculations'!$C$20</f>
        <v>0.12540521045215058</v>
      </c>
      <c r="U6" s="32">
        <v>0.13506952751908519</v>
      </c>
      <c r="V6" s="32">
        <v>0.15561884005796101</v>
      </c>
      <c r="W6" s="32">
        <v>0.17507096200413907</v>
      </c>
      <c r="X6" s="32">
        <v>0.19360062853931637</v>
      </c>
      <c r="Y6" s="32">
        <v>0.2113426736213917</v>
      </c>
    </row>
    <row r="7" spans="1:25" x14ac:dyDescent="0.2">
      <c r="A7" s="25" t="s">
        <v>1</v>
      </c>
      <c r="B7" s="26">
        <v>1</v>
      </c>
      <c r="C7" s="27">
        <v>6477394.7680423073</v>
      </c>
      <c r="D7" s="27">
        <v>5951688.3073036242</v>
      </c>
      <c r="E7" s="27">
        <v>5425981.8465649374</v>
      </c>
      <c r="F7" s="27">
        <v>4900275.3858262505</v>
      </c>
      <c r="G7" s="27">
        <v>4374568.9250875656</v>
      </c>
      <c r="H7" s="28">
        <f>'Data &amp; Calculations'!$C$19</f>
        <v>4796857.7214186396</v>
      </c>
      <c r="I7" s="27">
        <v>3323156.0036101951</v>
      </c>
      <c r="J7" s="27">
        <v>2797449.5428715087</v>
      </c>
      <c r="K7" s="27">
        <v>2271743.0821328224</v>
      </c>
      <c r="L7" s="27">
        <v>1746036.6213941358</v>
      </c>
      <c r="M7" s="27">
        <v>1220330.1606554524</v>
      </c>
      <c r="N7" s="29"/>
      <c r="O7" s="32">
        <v>0.14600735639233609</v>
      </c>
      <c r="P7" s="32">
        <v>0.13969524718777993</v>
      </c>
      <c r="Q7" s="32">
        <v>0.1332653264020851</v>
      </c>
      <c r="R7" s="32">
        <v>0.12671017811060015</v>
      </c>
      <c r="S7" s="32">
        <v>0.12002163674699284</v>
      </c>
      <c r="T7" s="31">
        <f>'Data &amp; Calculations'!$C$20</f>
        <v>0.12540521045215058</v>
      </c>
      <c r="U7" s="32">
        <v>0.10620731122949589</v>
      </c>
      <c r="V7" s="32">
        <v>9.9060395747004648E-2</v>
      </c>
      <c r="W7" s="32">
        <v>9.1737497272265767E-2</v>
      </c>
      <c r="X7" s="32">
        <v>8.4224655213891886E-2</v>
      </c>
      <c r="Y7" s="32">
        <v>7.6506124403703968E-2</v>
      </c>
    </row>
    <row r="8" spans="1:25" x14ac:dyDescent="0.2">
      <c r="C8" s="27"/>
      <c r="D8" s="27"/>
      <c r="E8" s="27"/>
      <c r="F8" s="27"/>
      <c r="G8" s="27"/>
      <c r="H8" s="27"/>
      <c r="I8" s="27"/>
      <c r="J8" s="27"/>
      <c r="K8" s="27"/>
      <c r="L8" s="27"/>
      <c r="M8" s="27"/>
      <c r="N8" s="29"/>
      <c r="O8" s="29"/>
      <c r="P8" s="29"/>
      <c r="Q8" s="29"/>
      <c r="R8" s="29"/>
      <c r="S8" s="29"/>
      <c r="T8" s="29"/>
      <c r="U8" s="29"/>
      <c r="V8" s="29"/>
      <c r="W8" s="29"/>
      <c r="X8" s="29"/>
      <c r="Y8" s="29"/>
    </row>
    <row r="9" spans="1:25" x14ac:dyDescent="0.2">
      <c r="C9" s="27"/>
      <c r="D9" s="27"/>
      <c r="E9" s="27"/>
      <c r="F9" s="27"/>
      <c r="G9" s="27"/>
      <c r="H9" s="27"/>
      <c r="I9" s="27"/>
      <c r="J9" s="27"/>
      <c r="K9" s="27"/>
      <c r="L9" s="27"/>
      <c r="M9" s="27"/>
      <c r="N9" s="29"/>
      <c r="O9" s="29"/>
      <c r="P9" s="29"/>
      <c r="Q9" s="29"/>
      <c r="R9" s="29"/>
      <c r="S9" s="29"/>
      <c r="T9" s="29"/>
      <c r="U9" s="29"/>
      <c r="V9" s="29"/>
      <c r="W9" s="29"/>
      <c r="X9" s="29"/>
      <c r="Y9" s="29"/>
    </row>
    <row r="10" spans="1:25" x14ac:dyDescent="0.2">
      <c r="A10" s="52" t="s">
        <v>50</v>
      </c>
      <c r="C10" s="27"/>
      <c r="D10" s="27"/>
      <c r="E10" s="27"/>
      <c r="F10" s="27"/>
      <c r="G10" s="27"/>
      <c r="H10" s="27"/>
      <c r="I10" s="27"/>
      <c r="J10" s="27"/>
      <c r="K10" s="27"/>
      <c r="L10" s="27"/>
      <c r="M10" s="27"/>
    </row>
    <row r="31" spans="1:1" x14ac:dyDescent="0.2">
      <c r="A31" s="23"/>
    </row>
  </sheetData>
  <mergeCells count="2">
    <mergeCell ref="C1:M1"/>
    <mergeCell ref="O1:Y1"/>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ensitivity">
                <anchor moveWithCells="1" sizeWithCells="1">
                  <from>
                    <xdr:col>0</xdr:col>
                    <xdr:colOff>152400</xdr:colOff>
                    <xdr:row>10</xdr:row>
                    <xdr:rowOff>101600</xdr:rowOff>
                  </from>
                  <to>
                    <xdr:col>0</xdr:col>
                    <xdr:colOff>1384300</xdr:colOff>
                    <xdr:row>12</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09B4D-F9FF-4976-AA39-A95A12EDA037}">
  <sheetPr codeName="Sheet7">
    <tabColor theme="5" tint="0.39997558519241921"/>
  </sheetPr>
  <dimension ref="B1:R35"/>
  <sheetViews>
    <sheetView showGridLines="0" zoomScale="115" zoomScaleNormal="115" workbookViewId="0">
      <selection activeCell="S17" sqref="S17"/>
    </sheetView>
  </sheetViews>
  <sheetFormatPr baseColWidth="10" defaultColWidth="8.83203125" defaultRowHeight="15" x14ac:dyDescent="0.2"/>
  <cols>
    <col min="1" max="1" width="8.83203125" style="74"/>
    <col min="2" max="2" width="20.5" style="74" customWidth="1"/>
    <col min="3" max="3" width="16.1640625" style="74" bestFit="1" customWidth="1"/>
    <col min="4" max="4" width="13.33203125" style="74" customWidth="1"/>
    <col min="5" max="5" width="3.5" style="74" customWidth="1"/>
    <col min="6" max="6" width="13.5" style="74" bestFit="1" customWidth="1"/>
    <col min="7" max="16" width="8.83203125" style="74"/>
    <col min="17" max="17" width="15.1640625" style="74" customWidth="1"/>
    <col min="18" max="18" width="17.5" style="74" customWidth="1"/>
    <col min="19" max="16384" width="8.83203125" style="74"/>
  </cols>
  <sheetData>
    <row r="1" spans="2:18" ht="16" thickBot="1" x14ac:dyDescent="0.25"/>
    <row r="2" spans="2:18" x14ac:dyDescent="0.2">
      <c r="B2" s="62" t="s">
        <v>49</v>
      </c>
      <c r="C2" s="79" t="s">
        <v>53</v>
      </c>
      <c r="D2" s="80" t="s">
        <v>54</v>
      </c>
      <c r="F2" s="63" t="s">
        <v>56</v>
      </c>
      <c r="Q2" s="147"/>
      <c r="R2" s="147"/>
    </row>
    <row r="3" spans="2:18" x14ac:dyDescent="0.2">
      <c r="B3" s="70" t="s">
        <v>0</v>
      </c>
      <c r="C3" s="48">
        <v>7000000</v>
      </c>
      <c r="D3" s="71">
        <v>13000000</v>
      </c>
      <c r="F3" s="169">
        <f ca="1">C3+(D3-C3)*RAND()</f>
        <v>12793498.751253001</v>
      </c>
      <c r="R3" s="75"/>
    </row>
    <row r="4" spans="2:18" x14ac:dyDescent="0.2">
      <c r="B4" s="70" t="s">
        <v>26</v>
      </c>
      <c r="C4" s="48">
        <v>500000</v>
      </c>
      <c r="D4" s="71">
        <v>1500000</v>
      </c>
      <c r="F4" s="169">
        <f ca="1">C4+(D4-C4)*RAND()</f>
        <v>1239074.018371773</v>
      </c>
      <c r="R4" s="75"/>
    </row>
    <row r="5" spans="2:18" x14ac:dyDescent="0.2">
      <c r="B5" s="70" t="s">
        <v>27</v>
      </c>
      <c r="C5" s="48">
        <v>1000000</v>
      </c>
      <c r="D5" s="71">
        <v>2000000</v>
      </c>
      <c r="F5" s="169">
        <f ca="1">C5+(D5-C5)*RAND()</f>
        <v>1573447.4511103285</v>
      </c>
      <c r="R5" s="75"/>
    </row>
    <row r="6" spans="2:18" x14ac:dyDescent="0.2">
      <c r="B6" s="70" t="s">
        <v>20</v>
      </c>
      <c r="C6" s="48">
        <v>1.5</v>
      </c>
      <c r="D6" s="71">
        <v>2.5</v>
      </c>
      <c r="F6" s="169">
        <f ca="1">C6+(D6-C6)*RAND()</f>
        <v>1.6665309505475294</v>
      </c>
      <c r="Q6" s="148"/>
      <c r="R6" s="149"/>
    </row>
    <row r="7" spans="2:18" ht="16" thickBot="1" x14ac:dyDescent="0.25">
      <c r="B7" s="72" t="s">
        <v>44</v>
      </c>
      <c r="C7" s="76">
        <v>0.4</v>
      </c>
      <c r="D7" s="73">
        <v>0.7</v>
      </c>
      <c r="F7" s="170">
        <f ca="1">C7+(D7-C7)*RAND()</f>
        <v>0.51678171962658004</v>
      </c>
      <c r="Q7" s="148"/>
      <c r="R7" s="149"/>
    </row>
    <row r="8" spans="2:18" ht="14.25" customHeight="1" x14ac:dyDescent="0.2">
      <c r="Q8" s="148"/>
      <c r="R8" s="149"/>
    </row>
    <row r="9" spans="2:18" ht="15" customHeight="1" thickBot="1" x14ac:dyDescent="0.25">
      <c r="Q9" s="148"/>
      <c r="R9" s="149"/>
    </row>
    <row r="10" spans="2:18" x14ac:dyDescent="0.2">
      <c r="B10" s="62" t="s">
        <v>55</v>
      </c>
      <c r="C10" s="77">
        <v>100</v>
      </c>
    </row>
    <row r="11" spans="2:18" ht="16" thickBot="1" x14ac:dyDescent="0.25">
      <c r="B11" s="81" t="s">
        <v>122</v>
      </c>
      <c r="C11" s="73">
        <v>50</v>
      </c>
    </row>
    <row r="13" spans="2:18" ht="16" thickBot="1" x14ac:dyDescent="0.25"/>
    <row r="14" spans="2:18" x14ac:dyDescent="0.2">
      <c r="B14" s="138" t="s">
        <v>67</v>
      </c>
      <c r="C14" s="139"/>
    </row>
    <row r="15" spans="2:18" x14ac:dyDescent="0.2">
      <c r="B15" s="70" t="s">
        <v>68</v>
      </c>
      <c r="C15" s="78">
        <f>Mean</f>
        <v>3938000</v>
      </c>
    </row>
    <row r="16" spans="2:18" x14ac:dyDescent="0.2">
      <c r="B16" s="70" t="s">
        <v>69</v>
      </c>
      <c r="C16" s="78">
        <f>Minimi</f>
        <v>-4026996.3411847637</v>
      </c>
    </row>
    <row r="17" spans="2:3" x14ac:dyDescent="0.2">
      <c r="B17" s="70" t="s">
        <v>70</v>
      </c>
      <c r="C17" s="78">
        <f>Maximi</f>
        <v>13315697.660650847</v>
      </c>
    </row>
    <row r="18" spans="2:3" x14ac:dyDescent="0.2">
      <c r="B18" s="134" t="s">
        <v>71</v>
      </c>
      <c r="C18" s="135">
        <f>Neg_share</f>
        <v>0.12</v>
      </c>
    </row>
    <row r="19" spans="2:3" x14ac:dyDescent="0.2">
      <c r="B19" s="134"/>
      <c r="C19" s="135"/>
    </row>
    <row r="20" spans="2:3" x14ac:dyDescent="0.2">
      <c r="B20" s="134" t="s">
        <v>72</v>
      </c>
      <c r="C20" s="135">
        <f>Pos_share</f>
        <v>0.88</v>
      </c>
    </row>
    <row r="21" spans="2:3" ht="16" thickBot="1" x14ac:dyDescent="0.25">
      <c r="B21" s="136"/>
      <c r="C21" s="137"/>
    </row>
    <row r="22" spans="2:3" ht="16" thickBot="1" x14ac:dyDescent="0.25"/>
    <row r="23" spans="2:3" x14ac:dyDescent="0.2">
      <c r="B23" s="145" t="s">
        <v>79</v>
      </c>
      <c r="C23" s="146"/>
    </row>
    <row r="24" spans="2:3" ht="18" customHeight="1" x14ac:dyDescent="0.2">
      <c r="B24" s="141" t="s">
        <v>125</v>
      </c>
      <c r="C24" s="142"/>
    </row>
    <row r="25" spans="2:3" x14ac:dyDescent="0.2">
      <c r="B25" s="141"/>
      <c r="C25" s="142"/>
    </row>
    <row r="26" spans="2:3" x14ac:dyDescent="0.2">
      <c r="B26" s="141"/>
      <c r="C26" s="142"/>
    </row>
    <row r="27" spans="2:3" x14ac:dyDescent="0.2">
      <c r="B27" s="141"/>
      <c r="C27" s="142"/>
    </row>
    <row r="28" spans="2:3" x14ac:dyDescent="0.2">
      <c r="B28" s="141"/>
      <c r="C28" s="142"/>
    </row>
    <row r="29" spans="2:3" x14ac:dyDescent="0.2">
      <c r="B29" s="141"/>
      <c r="C29" s="142"/>
    </row>
    <row r="30" spans="2:3" x14ac:dyDescent="0.2">
      <c r="B30" s="141"/>
      <c r="C30" s="142"/>
    </row>
    <row r="31" spans="2:3" ht="16" thickBot="1" x14ac:dyDescent="0.25">
      <c r="B31" s="143"/>
      <c r="C31" s="144"/>
    </row>
    <row r="32" spans="2:3" ht="19.5" customHeight="1" x14ac:dyDescent="0.2">
      <c r="B32" s="106"/>
      <c r="C32" s="106"/>
    </row>
    <row r="33" spans="2:3" ht="12.75" customHeight="1" x14ac:dyDescent="0.2">
      <c r="B33" s="106"/>
      <c r="C33" s="106"/>
    </row>
    <row r="34" spans="2:3" ht="14.25" customHeight="1" x14ac:dyDescent="0.2">
      <c r="B34" s="106"/>
      <c r="C34" s="106"/>
    </row>
    <row r="35" spans="2:3" ht="18" customHeight="1" x14ac:dyDescent="0.2">
      <c r="B35" s="106"/>
      <c r="C35" s="106"/>
    </row>
  </sheetData>
  <mergeCells count="12">
    <mergeCell ref="Q2:R2"/>
    <mergeCell ref="Q6:Q7"/>
    <mergeCell ref="R6:R7"/>
    <mergeCell ref="R8:R9"/>
    <mergeCell ref="Q8:Q9"/>
    <mergeCell ref="B24:C31"/>
    <mergeCell ref="B23:C23"/>
    <mergeCell ref="B14:C14"/>
    <mergeCell ref="B18:B19"/>
    <mergeCell ref="C18:C19"/>
    <mergeCell ref="B20:B21"/>
    <mergeCell ref="C20:C21"/>
  </mergeCells>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C90ED-D36E-472C-870D-354DDE1A1D37}">
  <sheetPr codeName="Sheet5">
    <tabColor theme="5" tint="0.39997558519241921"/>
  </sheetPr>
  <dimension ref="A1:A100"/>
  <sheetViews>
    <sheetView workbookViewId="0">
      <selection activeCell="A2" sqref="A2"/>
    </sheetView>
  </sheetViews>
  <sheetFormatPr baseColWidth="10" defaultColWidth="8.83203125" defaultRowHeight="15" x14ac:dyDescent="0.2"/>
  <sheetData>
    <row r="1" spans="1:1" x14ac:dyDescent="0.2">
      <c r="A1">
        <v>10414592.267531494</v>
      </c>
    </row>
    <row r="2" spans="1:1" x14ac:dyDescent="0.2">
      <c r="A2">
        <v>2595367.3551257243</v>
      </c>
    </row>
    <row r="3" spans="1:1" x14ac:dyDescent="0.2">
      <c r="A3">
        <v>-373164.173316987</v>
      </c>
    </row>
    <row r="4" spans="1:1" x14ac:dyDescent="0.2">
      <c r="A4">
        <v>7595526.0804340262</v>
      </c>
    </row>
    <row r="5" spans="1:1" x14ac:dyDescent="0.2">
      <c r="A5">
        <v>3954842.4994045468</v>
      </c>
    </row>
    <row r="6" spans="1:1" x14ac:dyDescent="0.2">
      <c r="A6">
        <v>-175999.74140150507</v>
      </c>
    </row>
    <row r="7" spans="1:1" x14ac:dyDescent="0.2">
      <c r="A7">
        <v>1565470.9750259514</v>
      </c>
    </row>
    <row r="8" spans="1:1" x14ac:dyDescent="0.2">
      <c r="A8">
        <v>-47147.519524024334</v>
      </c>
    </row>
    <row r="9" spans="1:1" x14ac:dyDescent="0.2">
      <c r="A9">
        <v>-2257501.5203025914</v>
      </c>
    </row>
    <row r="10" spans="1:1" x14ac:dyDescent="0.2">
      <c r="A10">
        <v>10727015.373374298</v>
      </c>
    </row>
    <row r="11" spans="1:1" x14ac:dyDescent="0.2">
      <c r="A11">
        <v>3969446.1097054705</v>
      </c>
    </row>
    <row r="12" spans="1:1" x14ac:dyDescent="0.2">
      <c r="A12">
        <v>797996.3197210806</v>
      </c>
    </row>
    <row r="13" spans="1:1" x14ac:dyDescent="0.2">
      <c r="A13">
        <v>6497689.4512506099</v>
      </c>
    </row>
    <row r="14" spans="1:1" x14ac:dyDescent="0.2">
      <c r="A14">
        <v>2771503.7872416908</v>
      </c>
    </row>
    <row r="15" spans="1:1" x14ac:dyDescent="0.2">
      <c r="A15">
        <v>13315697.660650847</v>
      </c>
    </row>
    <row r="16" spans="1:1" x14ac:dyDescent="0.2">
      <c r="A16">
        <v>9498324.8030192144</v>
      </c>
    </row>
    <row r="17" spans="1:1" x14ac:dyDescent="0.2">
      <c r="A17">
        <v>5689797.2958955523</v>
      </c>
    </row>
    <row r="18" spans="1:1" x14ac:dyDescent="0.2">
      <c r="A18">
        <v>7228736.3349771136</v>
      </c>
    </row>
    <row r="19" spans="1:1" x14ac:dyDescent="0.2">
      <c r="A19">
        <v>2125507.2100873021</v>
      </c>
    </row>
    <row r="20" spans="1:1" x14ac:dyDescent="0.2">
      <c r="A20">
        <v>6125344.5856778882</v>
      </c>
    </row>
    <row r="21" spans="1:1" x14ac:dyDescent="0.2">
      <c r="A21">
        <v>4195393.4959722534</v>
      </c>
    </row>
    <row r="22" spans="1:1" x14ac:dyDescent="0.2">
      <c r="A22">
        <v>7707218.9982228754</v>
      </c>
    </row>
    <row r="23" spans="1:1" x14ac:dyDescent="0.2">
      <c r="A23">
        <v>2268723.2326345155</v>
      </c>
    </row>
    <row r="24" spans="1:1" x14ac:dyDescent="0.2">
      <c r="A24">
        <v>7416658.5237277411</v>
      </c>
    </row>
    <row r="25" spans="1:1" x14ac:dyDescent="0.2">
      <c r="A25">
        <v>5615469.1816544384</v>
      </c>
    </row>
    <row r="26" spans="1:1" x14ac:dyDescent="0.2">
      <c r="A26">
        <v>9751885.9985724036</v>
      </c>
    </row>
    <row r="27" spans="1:1" x14ac:dyDescent="0.2">
      <c r="A27">
        <v>1206917.8568206073</v>
      </c>
    </row>
    <row r="28" spans="1:1" x14ac:dyDescent="0.2">
      <c r="A28">
        <v>4297873.8443707954</v>
      </c>
    </row>
    <row r="29" spans="1:1" x14ac:dyDescent="0.2">
      <c r="A29">
        <v>4074653.5429586885</v>
      </c>
    </row>
    <row r="30" spans="1:1" x14ac:dyDescent="0.2">
      <c r="A30">
        <v>8599632.7246359587</v>
      </c>
    </row>
    <row r="31" spans="1:1" x14ac:dyDescent="0.2">
      <c r="A31">
        <v>9149435.0263542049</v>
      </c>
    </row>
    <row r="32" spans="1:1" x14ac:dyDescent="0.2">
      <c r="A32">
        <v>2298003.6846686983</v>
      </c>
    </row>
    <row r="33" spans="1:1" x14ac:dyDescent="0.2">
      <c r="A33">
        <v>3605553.4597903965</v>
      </c>
    </row>
    <row r="34" spans="1:1" x14ac:dyDescent="0.2">
      <c r="A34">
        <v>9990327.7783877142</v>
      </c>
    </row>
    <row r="35" spans="1:1" x14ac:dyDescent="0.2">
      <c r="A35">
        <v>4367267.1423073681</v>
      </c>
    </row>
    <row r="36" spans="1:1" x14ac:dyDescent="0.2">
      <c r="A36">
        <v>-529242.19032227132</v>
      </c>
    </row>
    <row r="37" spans="1:1" x14ac:dyDescent="0.2">
      <c r="A37">
        <v>8698468.3116141669</v>
      </c>
    </row>
    <row r="38" spans="1:1" x14ac:dyDescent="0.2">
      <c r="A38">
        <v>10293421.370880226</v>
      </c>
    </row>
    <row r="39" spans="1:1" x14ac:dyDescent="0.2">
      <c r="A39">
        <v>3720407.7162009776</v>
      </c>
    </row>
    <row r="40" spans="1:1" x14ac:dyDescent="0.2">
      <c r="A40">
        <v>1241696.7377770955</v>
      </c>
    </row>
    <row r="41" spans="1:1" x14ac:dyDescent="0.2">
      <c r="A41">
        <v>2237762.0606628228</v>
      </c>
    </row>
    <row r="42" spans="1:1" x14ac:dyDescent="0.2">
      <c r="A42">
        <v>-1097933.7139246971</v>
      </c>
    </row>
    <row r="43" spans="1:1" x14ac:dyDescent="0.2">
      <c r="A43">
        <v>-1654865.8592667384</v>
      </c>
    </row>
    <row r="44" spans="1:1" x14ac:dyDescent="0.2">
      <c r="A44">
        <v>5026972.0455799159</v>
      </c>
    </row>
    <row r="45" spans="1:1" x14ac:dyDescent="0.2">
      <c r="A45">
        <v>8625507.2085844502</v>
      </c>
    </row>
    <row r="46" spans="1:1" x14ac:dyDescent="0.2">
      <c r="A46">
        <v>7470607.5011393614</v>
      </c>
    </row>
    <row r="47" spans="1:1" x14ac:dyDescent="0.2">
      <c r="A47">
        <v>2706347.1669230857</v>
      </c>
    </row>
    <row r="48" spans="1:1" x14ac:dyDescent="0.2">
      <c r="A48">
        <v>5924781.7574476451</v>
      </c>
    </row>
    <row r="49" spans="1:1" x14ac:dyDescent="0.2">
      <c r="A49">
        <v>7196452.4066001633</v>
      </c>
    </row>
    <row r="50" spans="1:1" x14ac:dyDescent="0.2">
      <c r="A50">
        <v>9186638.9942054432</v>
      </c>
    </row>
    <row r="51" spans="1:1" x14ac:dyDescent="0.2">
      <c r="A51">
        <v>6437463.2145618973</v>
      </c>
    </row>
    <row r="52" spans="1:1" x14ac:dyDescent="0.2">
      <c r="A52">
        <v>820187.70171600487</v>
      </c>
    </row>
    <row r="53" spans="1:1" x14ac:dyDescent="0.2">
      <c r="A53">
        <v>3674358.1775086974</v>
      </c>
    </row>
    <row r="54" spans="1:1" x14ac:dyDescent="0.2">
      <c r="A54">
        <v>386648.62547420955</v>
      </c>
    </row>
    <row r="55" spans="1:1" x14ac:dyDescent="0.2">
      <c r="A55">
        <v>6798903.3858366571</v>
      </c>
    </row>
    <row r="56" spans="1:1" x14ac:dyDescent="0.2">
      <c r="A56">
        <v>6701481.5539373429</v>
      </c>
    </row>
    <row r="57" spans="1:1" x14ac:dyDescent="0.2">
      <c r="A57">
        <v>5993955.77675875</v>
      </c>
    </row>
    <row r="58" spans="1:1" x14ac:dyDescent="0.2">
      <c r="A58">
        <v>4222126.7068085298</v>
      </c>
    </row>
    <row r="59" spans="1:1" x14ac:dyDescent="0.2">
      <c r="A59">
        <v>4682115.5246818271</v>
      </c>
    </row>
    <row r="60" spans="1:1" x14ac:dyDescent="0.2">
      <c r="A60">
        <v>2374005.2442049962</v>
      </c>
    </row>
    <row r="61" spans="1:1" x14ac:dyDescent="0.2">
      <c r="A61">
        <v>-827047.9286971296</v>
      </c>
    </row>
    <row r="62" spans="1:1" x14ac:dyDescent="0.2">
      <c r="A62">
        <v>1190451.1401634761</v>
      </c>
    </row>
    <row r="63" spans="1:1" x14ac:dyDescent="0.2">
      <c r="A63">
        <v>8909208.4880834725</v>
      </c>
    </row>
    <row r="64" spans="1:1" x14ac:dyDescent="0.2">
      <c r="A64">
        <v>6744382.5333677325</v>
      </c>
    </row>
    <row r="65" spans="1:1" x14ac:dyDescent="0.2">
      <c r="A65">
        <v>3555698.0330724302</v>
      </c>
    </row>
    <row r="66" spans="1:1" x14ac:dyDescent="0.2">
      <c r="A66">
        <v>7571636.2188523086</v>
      </c>
    </row>
    <row r="67" spans="1:1" x14ac:dyDescent="0.2">
      <c r="A67">
        <v>5703310.5260116607</v>
      </c>
    </row>
    <row r="68" spans="1:1" x14ac:dyDescent="0.2">
      <c r="A68">
        <v>7745367.6290427418</v>
      </c>
    </row>
    <row r="69" spans="1:1" x14ac:dyDescent="0.2">
      <c r="A69">
        <v>2938584.6300125616</v>
      </c>
    </row>
    <row r="70" spans="1:1" x14ac:dyDescent="0.2">
      <c r="A70">
        <v>4641630.9644718822</v>
      </c>
    </row>
    <row r="71" spans="1:1" x14ac:dyDescent="0.2">
      <c r="A71">
        <v>2835569.9102133913</v>
      </c>
    </row>
    <row r="72" spans="1:1" x14ac:dyDescent="0.2">
      <c r="A72">
        <v>8502148.9532095548</v>
      </c>
    </row>
    <row r="73" spans="1:1" x14ac:dyDescent="0.2">
      <c r="A73">
        <v>898559.2821148606</v>
      </c>
    </row>
    <row r="74" spans="1:1" x14ac:dyDescent="0.2">
      <c r="A74">
        <v>-1591637.3023675708</v>
      </c>
    </row>
    <row r="75" spans="1:1" x14ac:dyDescent="0.2">
      <c r="A75">
        <v>9742260.7467182837</v>
      </c>
    </row>
    <row r="76" spans="1:1" x14ac:dyDescent="0.2">
      <c r="A76">
        <v>2860206.0565320514</v>
      </c>
    </row>
    <row r="77" spans="1:1" x14ac:dyDescent="0.2">
      <c r="A77">
        <v>-4026996.3411847637</v>
      </c>
    </row>
    <row r="78" spans="1:1" x14ac:dyDescent="0.2">
      <c r="A78">
        <v>2542189.7101800283</v>
      </c>
    </row>
    <row r="79" spans="1:1" x14ac:dyDescent="0.2">
      <c r="A79">
        <v>1096214.5056441778</v>
      </c>
    </row>
    <row r="80" spans="1:1" x14ac:dyDescent="0.2">
      <c r="A80">
        <v>7329132.6378161786</v>
      </c>
    </row>
    <row r="81" spans="1:1" x14ac:dyDescent="0.2">
      <c r="A81">
        <v>3655350.2385940878</v>
      </c>
    </row>
    <row r="82" spans="1:1" x14ac:dyDescent="0.2">
      <c r="A82">
        <v>-142573.3230211729</v>
      </c>
    </row>
    <row r="83" spans="1:1" x14ac:dyDescent="0.2">
      <c r="A83">
        <v>890128.99263315171</v>
      </c>
    </row>
    <row r="84" spans="1:1" x14ac:dyDescent="0.2">
      <c r="A84">
        <v>1684875.7258447832</v>
      </c>
    </row>
    <row r="85" spans="1:1" x14ac:dyDescent="0.2">
      <c r="A85">
        <v>3416741.409328972</v>
      </c>
    </row>
    <row r="86" spans="1:1" x14ac:dyDescent="0.2">
      <c r="A86">
        <v>972275.08933690586</v>
      </c>
    </row>
    <row r="87" spans="1:1" x14ac:dyDescent="0.2">
      <c r="A87">
        <v>2956787.4185932232</v>
      </c>
    </row>
    <row r="88" spans="1:1" x14ac:dyDescent="0.2">
      <c r="A88">
        <v>5787502.5002419595</v>
      </c>
    </row>
    <row r="89" spans="1:1" x14ac:dyDescent="0.2">
      <c r="A89">
        <v>472262.68651619751</v>
      </c>
    </row>
    <row r="90" spans="1:1" x14ac:dyDescent="0.2">
      <c r="A90">
        <v>3941685.2149407305</v>
      </c>
    </row>
    <row r="91" spans="1:1" x14ac:dyDescent="0.2">
      <c r="A91">
        <v>2769030.9718051073</v>
      </c>
    </row>
    <row r="92" spans="1:1" x14ac:dyDescent="0.2">
      <c r="A92">
        <v>777493.03421955695</v>
      </c>
    </row>
    <row r="93" spans="1:1" x14ac:dyDescent="0.2">
      <c r="A93">
        <v>-267412.66356113378</v>
      </c>
    </row>
    <row r="94" spans="1:1" x14ac:dyDescent="0.2">
      <c r="A94">
        <v>6903284.8765245769</v>
      </c>
    </row>
    <row r="95" spans="1:1" x14ac:dyDescent="0.2">
      <c r="A95">
        <v>6673943.2711860696</v>
      </c>
    </row>
    <row r="96" spans="1:1" x14ac:dyDescent="0.2">
      <c r="A96">
        <v>763133.39165376162</v>
      </c>
    </row>
    <row r="97" spans="1:1" x14ac:dyDescent="0.2">
      <c r="A97">
        <v>629873.35651500837</v>
      </c>
    </row>
    <row r="98" spans="1:1" x14ac:dyDescent="0.2">
      <c r="A98">
        <v>1193492.2846700023</v>
      </c>
    </row>
    <row r="99" spans="1:1" x14ac:dyDescent="0.2">
      <c r="A99">
        <v>7139505.5390099641</v>
      </c>
    </row>
    <row r="100" spans="1:1" x14ac:dyDescent="0.2">
      <c r="A100">
        <v>9613216.8183591664</v>
      </c>
    </row>
  </sheetData>
  <conditionalFormatting sqref="A1:A1000">
    <cfRule type="cellIs" dxfId="4" priority="2" operator="lessThan">
      <formula>0</formula>
    </cfRule>
    <cfRule type="cellIs" dxfId="3" priority="3" operator="greaterThan">
      <formula>5945417.787</formula>
    </cfRule>
  </conditionalFormatting>
  <conditionalFormatting sqref="A1:A1048576">
    <cfRule type="cellIs" dxfId="2" priority="1" operator="greaterThan">
      <formula>0</formula>
    </cfRule>
  </conditionalFormatting>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C596C-DDF4-4418-994F-0DFE3508365A}">
  <sheetPr codeName="Sheet6">
    <tabColor theme="5" tint="0.39997558519241921"/>
  </sheetPr>
  <dimension ref="A1:N56"/>
  <sheetViews>
    <sheetView showGridLines="0" zoomScale="93" workbookViewId="0">
      <selection activeCell="S40" sqref="S40"/>
    </sheetView>
  </sheetViews>
  <sheetFormatPr baseColWidth="10" defaultColWidth="8.83203125" defaultRowHeight="15" x14ac:dyDescent="0.2"/>
  <cols>
    <col min="2" max="2" width="10.6640625" customWidth="1"/>
    <col min="5" max="5" width="4.83203125" bestFit="1" customWidth="1"/>
    <col min="6" max="6" width="9.6640625" bestFit="1" customWidth="1"/>
    <col min="7" max="7" width="6.33203125" bestFit="1" customWidth="1"/>
    <col min="8" max="8" width="10.6640625" style="64" bestFit="1" customWidth="1"/>
    <col min="10" max="10" width="13.6640625" bestFit="1" customWidth="1"/>
    <col min="11" max="11" width="13.33203125" bestFit="1" customWidth="1"/>
    <col min="12" max="12" width="12.33203125" bestFit="1" customWidth="1"/>
  </cols>
  <sheetData>
    <row r="1" spans="1:12" x14ac:dyDescent="0.2">
      <c r="A1" t="s">
        <v>63</v>
      </c>
      <c r="B1">
        <f>Bins</f>
        <v>50</v>
      </c>
      <c r="E1" s="51" t="s">
        <v>64</v>
      </c>
      <c r="F1" s="51" t="s">
        <v>53</v>
      </c>
      <c r="G1" s="51" t="s">
        <v>65</v>
      </c>
      <c r="H1" s="82" t="s">
        <v>66</v>
      </c>
      <c r="I1" s="48"/>
      <c r="J1" s="51" t="s">
        <v>73</v>
      </c>
      <c r="K1" s="51" t="s">
        <v>74</v>
      </c>
      <c r="L1" s="51" t="s">
        <v>75</v>
      </c>
    </row>
    <row r="2" spans="1:12" x14ac:dyDescent="0.2">
      <c r="A2" t="s">
        <v>53</v>
      </c>
      <c r="B2">
        <f>MIN(data_new)</f>
        <v>-4026996.3411847637</v>
      </c>
      <c r="E2">
        <v>1</v>
      </c>
      <c r="F2">
        <f>B7</f>
        <v>-10000000</v>
      </c>
      <c r="G2">
        <f t="shared" ref="G2:G33" si="0">COUNTIFS(data_new,"&gt;"&amp;F2,data_new,"&lt;="&amp;F3)</f>
        <v>0</v>
      </c>
      <c r="H2" s="64">
        <f>G2/MC_sim!$C$10</f>
        <v>0</v>
      </c>
      <c r="J2" s="1">
        <f>SUMPRODUCT(F2:F52,G2:G52) / SUM(G2:G52)</f>
        <v>3938000</v>
      </c>
      <c r="K2">
        <f>IF(F2&lt;0,G2,0)</f>
        <v>0</v>
      </c>
      <c r="L2">
        <f>IF(F2&gt;0,G2,0)</f>
        <v>0</v>
      </c>
    </row>
    <row r="3" spans="1:12" x14ac:dyDescent="0.2">
      <c r="A3" t="s">
        <v>58</v>
      </c>
      <c r="B3">
        <f>MAX(data_new)</f>
        <v>13315697.660650847</v>
      </c>
      <c r="E3">
        <v>2</v>
      </c>
      <c r="F3">
        <f>F2+$B$9/$B$1</f>
        <v>-9400000</v>
      </c>
      <c r="G3">
        <f t="shared" si="0"/>
        <v>0</v>
      </c>
      <c r="H3" s="64">
        <f>G3/MC_sim!$C$10</f>
        <v>0</v>
      </c>
      <c r="K3">
        <f t="shared" ref="K3:K52" si="1">IF(F3&lt;0,G3,0)</f>
        <v>0</v>
      </c>
      <c r="L3">
        <f t="shared" ref="L3:L52" si="2">IF(F3&gt;0,G3,0)</f>
        <v>0</v>
      </c>
    </row>
    <row r="4" spans="1:12" x14ac:dyDescent="0.2">
      <c r="A4" t="s">
        <v>59</v>
      </c>
      <c r="B4">
        <f>B3-B2</f>
        <v>17342694.001835611</v>
      </c>
      <c r="E4">
        <v>3</v>
      </c>
      <c r="F4">
        <f t="shared" ref="F4:F52" si="3">F3+$B$9/$B$1</f>
        <v>-8800000</v>
      </c>
      <c r="G4">
        <f t="shared" si="0"/>
        <v>0</v>
      </c>
      <c r="H4" s="64">
        <f>G4/MC_sim!$C$10</f>
        <v>0</v>
      </c>
      <c r="K4">
        <f t="shared" si="1"/>
        <v>0</v>
      </c>
      <c r="L4">
        <f t="shared" si="2"/>
        <v>0</v>
      </c>
    </row>
    <row r="5" spans="1:12" x14ac:dyDescent="0.2">
      <c r="A5" t="s">
        <v>60</v>
      </c>
      <c r="B5">
        <f>10^(LEN(ROUND(B4,0))-1)</f>
        <v>10000000</v>
      </c>
      <c r="E5">
        <v>4</v>
      </c>
      <c r="F5">
        <f t="shared" si="3"/>
        <v>-8200000</v>
      </c>
      <c r="G5">
        <f t="shared" si="0"/>
        <v>0</v>
      </c>
      <c r="H5" s="64">
        <f>G5/MC_sim!$C$10</f>
        <v>0</v>
      </c>
      <c r="K5">
        <f t="shared" si="1"/>
        <v>0</v>
      </c>
      <c r="L5">
        <f t="shared" si="2"/>
        <v>0</v>
      </c>
    </row>
    <row r="6" spans="1:12" x14ac:dyDescent="0.2">
      <c r="E6">
        <v>5</v>
      </c>
      <c r="F6">
        <f t="shared" si="3"/>
        <v>-7600000</v>
      </c>
      <c r="G6">
        <f t="shared" si="0"/>
        <v>0</v>
      </c>
      <c r="H6" s="64">
        <f>G6/MC_sim!$C$10</f>
        <v>0</v>
      </c>
      <c r="K6">
        <f t="shared" si="1"/>
        <v>0</v>
      </c>
      <c r="L6">
        <f t="shared" si="2"/>
        <v>0</v>
      </c>
    </row>
    <row r="7" spans="1:12" x14ac:dyDescent="0.2">
      <c r="A7" t="s">
        <v>61</v>
      </c>
      <c r="B7">
        <f>IF(B2&lt;0,ROUNDUP(B2/$B$5,0)*$B$5,ROUNDDOWN(B2/$B$5,0)*$B$5)</f>
        <v>-10000000</v>
      </c>
      <c r="E7">
        <v>6</v>
      </c>
      <c r="F7">
        <f t="shared" si="3"/>
        <v>-7000000</v>
      </c>
      <c r="G7">
        <f t="shared" si="0"/>
        <v>0</v>
      </c>
      <c r="H7" s="64">
        <f>G7/MC_sim!$C$10</f>
        <v>0</v>
      </c>
      <c r="K7">
        <f t="shared" si="1"/>
        <v>0</v>
      </c>
      <c r="L7">
        <f t="shared" si="2"/>
        <v>0</v>
      </c>
    </row>
    <row r="8" spans="1:12" x14ac:dyDescent="0.2">
      <c r="A8" t="s">
        <v>62</v>
      </c>
      <c r="B8">
        <f>IF(B3&lt;0,ROUNDDOWN(B3/$B$5,0)*$B$5,ROUNDUP(B3/$B$5,0)*$B$5)</f>
        <v>20000000</v>
      </c>
      <c r="E8">
        <v>7</v>
      </c>
      <c r="F8">
        <f t="shared" si="3"/>
        <v>-6400000</v>
      </c>
      <c r="G8">
        <f t="shared" si="0"/>
        <v>0</v>
      </c>
      <c r="H8" s="64">
        <f>G8/MC_sim!$C$10</f>
        <v>0</v>
      </c>
      <c r="K8">
        <f t="shared" si="1"/>
        <v>0</v>
      </c>
      <c r="L8">
        <f t="shared" si="2"/>
        <v>0</v>
      </c>
    </row>
    <row r="9" spans="1:12" x14ac:dyDescent="0.2">
      <c r="A9" t="s">
        <v>59</v>
      </c>
      <c r="B9">
        <f>B8-B7</f>
        <v>30000000</v>
      </c>
      <c r="E9">
        <v>8</v>
      </c>
      <c r="F9">
        <f t="shared" si="3"/>
        <v>-5800000</v>
      </c>
      <c r="G9">
        <f t="shared" si="0"/>
        <v>0</v>
      </c>
      <c r="H9" s="64">
        <f>G9/MC_sim!$C$10</f>
        <v>0</v>
      </c>
      <c r="K9">
        <f t="shared" si="1"/>
        <v>0</v>
      </c>
      <c r="L9">
        <f t="shared" si="2"/>
        <v>0</v>
      </c>
    </row>
    <row r="10" spans="1:12" x14ac:dyDescent="0.2">
      <c r="E10">
        <v>9</v>
      </c>
      <c r="F10">
        <f t="shared" si="3"/>
        <v>-5200000</v>
      </c>
      <c r="G10">
        <f t="shared" si="0"/>
        <v>0</v>
      </c>
      <c r="H10" s="64">
        <f>G10/MC_sim!$C$10</f>
        <v>0</v>
      </c>
      <c r="K10">
        <f t="shared" si="1"/>
        <v>0</v>
      </c>
      <c r="L10">
        <f t="shared" si="2"/>
        <v>0</v>
      </c>
    </row>
    <row r="11" spans="1:12" x14ac:dyDescent="0.2">
      <c r="E11">
        <v>10</v>
      </c>
      <c r="F11">
        <f t="shared" si="3"/>
        <v>-4600000</v>
      </c>
      <c r="G11">
        <f t="shared" si="0"/>
        <v>1</v>
      </c>
      <c r="H11" s="64">
        <f>G11/MC_sim!$C$10</f>
        <v>0.01</v>
      </c>
      <c r="K11">
        <f t="shared" si="1"/>
        <v>1</v>
      </c>
      <c r="L11">
        <f t="shared" si="2"/>
        <v>0</v>
      </c>
    </row>
    <row r="12" spans="1:12" x14ac:dyDescent="0.2">
      <c r="E12">
        <v>11</v>
      </c>
      <c r="F12">
        <f t="shared" si="3"/>
        <v>-4000000</v>
      </c>
      <c r="G12">
        <f t="shared" si="0"/>
        <v>0</v>
      </c>
      <c r="H12" s="64">
        <f>G12/MC_sim!$C$10</f>
        <v>0</v>
      </c>
      <c r="K12">
        <f t="shared" si="1"/>
        <v>0</v>
      </c>
      <c r="L12">
        <f t="shared" si="2"/>
        <v>0</v>
      </c>
    </row>
    <row r="13" spans="1:12" x14ac:dyDescent="0.2">
      <c r="E13">
        <v>12</v>
      </c>
      <c r="F13">
        <f t="shared" si="3"/>
        <v>-3400000</v>
      </c>
      <c r="G13">
        <f t="shared" si="0"/>
        <v>0</v>
      </c>
      <c r="H13" s="64">
        <f>G13/MC_sim!$C$10</f>
        <v>0</v>
      </c>
      <c r="K13">
        <f t="shared" si="1"/>
        <v>0</v>
      </c>
      <c r="L13">
        <f t="shared" si="2"/>
        <v>0</v>
      </c>
    </row>
    <row r="14" spans="1:12" x14ac:dyDescent="0.2">
      <c r="E14">
        <v>13</v>
      </c>
      <c r="F14">
        <f>F13+$B$9/$B$1</f>
        <v>-2800000</v>
      </c>
      <c r="G14">
        <f t="shared" si="0"/>
        <v>1</v>
      </c>
      <c r="H14" s="64">
        <f>G14/MC_sim!$C$10</f>
        <v>0.01</v>
      </c>
      <c r="K14">
        <f t="shared" si="1"/>
        <v>1</v>
      </c>
      <c r="L14">
        <f t="shared" si="2"/>
        <v>0</v>
      </c>
    </row>
    <row r="15" spans="1:12" x14ac:dyDescent="0.2">
      <c r="E15">
        <v>14</v>
      </c>
      <c r="F15">
        <f>F14+$B$9/$B$1</f>
        <v>-2200000</v>
      </c>
      <c r="G15">
        <f t="shared" si="0"/>
        <v>1</v>
      </c>
      <c r="H15" s="64">
        <f>G15/MC_sim!$C$10</f>
        <v>0.01</v>
      </c>
      <c r="K15">
        <f t="shared" si="1"/>
        <v>1</v>
      </c>
      <c r="L15">
        <f t="shared" si="2"/>
        <v>0</v>
      </c>
    </row>
    <row r="16" spans="1:12" x14ac:dyDescent="0.2">
      <c r="E16">
        <v>15</v>
      </c>
      <c r="F16">
        <f t="shared" si="3"/>
        <v>-1600000</v>
      </c>
      <c r="G16">
        <f t="shared" si="0"/>
        <v>2</v>
      </c>
      <c r="H16" s="64">
        <f>G16/MC_sim!$C$10</f>
        <v>0.02</v>
      </c>
      <c r="K16">
        <f t="shared" si="1"/>
        <v>2</v>
      </c>
      <c r="L16">
        <f t="shared" si="2"/>
        <v>0</v>
      </c>
    </row>
    <row r="17" spans="5:12" x14ac:dyDescent="0.2">
      <c r="E17">
        <v>16</v>
      </c>
      <c r="F17">
        <f t="shared" si="3"/>
        <v>-1000000</v>
      </c>
      <c r="G17">
        <f t="shared" si="0"/>
        <v>2</v>
      </c>
      <c r="H17" s="64">
        <f>G17/MC_sim!$C$10</f>
        <v>0.02</v>
      </c>
      <c r="K17">
        <f t="shared" si="1"/>
        <v>2</v>
      </c>
      <c r="L17">
        <f t="shared" si="2"/>
        <v>0</v>
      </c>
    </row>
    <row r="18" spans="5:12" x14ac:dyDescent="0.2">
      <c r="E18">
        <v>17</v>
      </c>
      <c r="F18">
        <f t="shared" si="3"/>
        <v>-400000</v>
      </c>
      <c r="G18">
        <f t="shared" si="0"/>
        <v>5</v>
      </c>
      <c r="H18" s="64">
        <f>G18/MC_sim!$C$10</f>
        <v>0.05</v>
      </c>
      <c r="K18">
        <f t="shared" si="1"/>
        <v>5</v>
      </c>
      <c r="L18">
        <f t="shared" si="2"/>
        <v>0</v>
      </c>
    </row>
    <row r="19" spans="5:12" x14ac:dyDescent="0.2">
      <c r="E19">
        <v>18</v>
      </c>
      <c r="F19">
        <f>F18+$B$9/$B$1</f>
        <v>200000</v>
      </c>
      <c r="G19">
        <f t="shared" si="0"/>
        <v>6</v>
      </c>
      <c r="H19" s="64">
        <f>G19/MC_sim!$C$10</f>
        <v>0.06</v>
      </c>
      <c r="K19">
        <f t="shared" si="1"/>
        <v>0</v>
      </c>
      <c r="L19">
        <f t="shared" si="2"/>
        <v>6</v>
      </c>
    </row>
    <row r="20" spans="5:12" x14ac:dyDescent="0.2">
      <c r="E20">
        <v>19</v>
      </c>
      <c r="F20">
        <f t="shared" si="3"/>
        <v>800000</v>
      </c>
      <c r="G20">
        <f t="shared" si="0"/>
        <v>9</v>
      </c>
      <c r="H20" s="64">
        <f>G20/MC_sim!$C$10</f>
        <v>0.09</v>
      </c>
      <c r="K20">
        <f t="shared" si="1"/>
        <v>0</v>
      </c>
      <c r="L20">
        <f t="shared" si="2"/>
        <v>9</v>
      </c>
    </row>
    <row r="21" spans="5:12" x14ac:dyDescent="0.2">
      <c r="E21">
        <v>20</v>
      </c>
      <c r="F21">
        <f t="shared" si="3"/>
        <v>1400000</v>
      </c>
      <c r="G21">
        <f t="shared" si="0"/>
        <v>2</v>
      </c>
      <c r="H21" s="64">
        <f>G21/MC_sim!$C$10</f>
        <v>0.02</v>
      </c>
      <c r="K21">
        <f t="shared" si="1"/>
        <v>0</v>
      </c>
      <c r="L21">
        <f t="shared" si="2"/>
        <v>2</v>
      </c>
    </row>
    <row r="22" spans="5:12" x14ac:dyDescent="0.2">
      <c r="E22">
        <v>21</v>
      </c>
      <c r="F22">
        <f t="shared" si="3"/>
        <v>2000000</v>
      </c>
      <c r="G22">
        <f t="shared" si="0"/>
        <v>7</v>
      </c>
      <c r="H22" s="64">
        <f>G22/MC_sim!$C$10</f>
        <v>7.0000000000000007E-2</v>
      </c>
      <c r="K22">
        <f t="shared" si="1"/>
        <v>0</v>
      </c>
      <c r="L22">
        <f t="shared" si="2"/>
        <v>7</v>
      </c>
    </row>
    <row r="23" spans="5:12" x14ac:dyDescent="0.2">
      <c r="E23">
        <v>22</v>
      </c>
      <c r="F23">
        <f>F22+$B$9/$B$1</f>
        <v>2600000</v>
      </c>
      <c r="G23">
        <f t="shared" si="0"/>
        <v>7</v>
      </c>
      <c r="H23" s="64">
        <f>G23/MC_sim!$C$10</f>
        <v>7.0000000000000007E-2</v>
      </c>
      <c r="K23">
        <f t="shared" si="1"/>
        <v>0</v>
      </c>
      <c r="L23">
        <f t="shared" si="2"/>
        <v>7</v>
      </c>
    </row>
    <row r="24" spans="5:12" x14ac:dyDescent="0.2">
      <c r="E24">
        <v>23</v>
      </c>
      <c r="F24">
        <f>F23+$B$9/$B$1</f>
        <v>3200000</v>
      </c>
      <c r="G24">
        <f t="shared" si="0"/>
        <v>6</v>
      </c>
      <c r="H24" s="64">
        <f>G24/MC_sim!$C$10</f>
        <v>0.06</v>
      </c>
      <c r="K24">
        <f t="shared" si="1"/>
        <v>0</v>
      </c>
      <c r="L24">
        <f t="shared" si="2"/>
        <v>6</v>
      </c>
    </row>
    <row r="25" spans="5:12" x14ac:dyDescent="0.2">
      <c r="E25">
        <v>24</v>
      </c>
      <c r="F25">
        <f t="shared" si="3"/>
        <v>3800000</v>
      </c>
      <c r="G25">
        <f t="shared" si="0"/>
        <v>8</v>
      </c>
      <c r="H25" s="64">
        <f>G25/MC_sim!$C$10</f>
        <v>0.08</v>
      </c>
      <c r="K25">
        <f t="shared" si="1"/>
        <v>0</v>
      </c>
      <c r="L25">
        <f t="shared" si="2"/>
        <v>8</v>
      </c>
    </row>
    <row r="26" spans="5:12" x14ac:dyDescent="0.2">
      <c r="E26">
        <v>25</v>
      </c>
      <c r="F26">
        <f t="shared" si="3"/>
        <v>4400000</v>
      </c>
      <c r="G26">
        <f t="shared" si="0"/>
        <v>2</v>
      </c>
      <c r="H26" s="64">
        <f>G26/MC_sim!$C$10</f>
        <v>0.02</v>
      </c>
      <c r="K26">
        <f t="shared" si="1"/>
        <v>0</v>
      </c>
      <c r="L26">
        <f t="shared" si="2"/>
        <v>2</v>
      </c>
    </row>
    <row r="27" spans="5:12" x14ac:dyDescent="0.2">
      <c r="E27">
        <v>26</v>
      </c>
      <c r="F27">
        <f t="shared" si="3"/>
        <v>5000000</v>
      </c>
      <c r="G27">
        <f t="shared" si="0"/>
        <v>1</v>
      </c>
      <c r="H27" s="64">
        <f>G27/MC_sim!$C$10</f>
        <v>0.01</v>
      </c>
      <c r="K27">
        <f t="shared" si="1"/>
        <v>0</v>
      </c>
      <c r="L27">
        <f t="shared" si="2"/>
        <v>1</v>
      </c>
    </row>
    <row r="28" spans="5:12" x14ac:dyDescent="0.2">
      <c r="E28">
        <v>27</v>
      </c>
      <c r="F28">
        <f t="shared" si="3"/>
        <v>5600000</v>
      </c>
      <c r="G28">
        <f t="shared" si="0"/>
        <v>7</v>
      </c>
      <c r="H28" s="64">
        <f>G28/MC_sim!$C$10</f>
        <v>7.0000000000000007E-2</v>
      </c>
      <c r="K28">
        <f t="shared" si="1"/>
        <v>0</v>
      </c>
      <c r="L28">
        <f t="shared" si="2"/>
        <v>7</v>
      </c>
    </row>
    <row r="29" spans="5:12" x14ac:dyDescent="0.2">
      <c r="E29">
        <v>28</v>
      </c>
      <c r="F29">
        <f t="shared" si="3"/>
        <v>6200000</v>
      </c>
      <c r="G29">
        <f t="shared" si="0"/>
        <v>6</v>
      </c>
      <c r="H29" s="64">
        <f>G29/MC_sim!$C$10</f>
        <v>0.06</v>
      </c>
      <c r="K29">
        <f t="shared" si="1"/>
        <v>0</v>
      </c>
      <c r="L29">
        <f t="shared" si="2"/>
        <v>6</v>
      </c>
    </row>
    <row r="30" spans="5:12" x14ac:dyDescent="0.2">
      <c r="E30">
        <v>29</v>
      </c>
      <c r="F30">
        <f t="shared" si="3"/>
        <v>6800000</v>
      </c>
      <c r="G30">
        <f t="shared" si="0"/>
        <v>5</v>
      </c>
      <c r="H30" s="64">
        <f>G30/MC_sim!$C$10</f>
        <v>0.05</v>
      </c>
      <c r="K30">
        <f t="shared" si="1"/>
        <v>0</v>
      </c>
      <c r="L30">
        <f t="shared" si="2"/>
        <v>5</v>
      </c>
    </row>
    <row r="31" spans="5:12" x14ac:dyDescent="0.2">
      <c r="E31">
        <v>30</v>
      </c>
      <c r="F31">
        <f t="shared" si="3"/>
        <v>7400000</v>
      </c>
      <c r="G31">
        <f t="shared" si="0"/>
        <v>6</v>
      </c>
      <c r="H31" s="64">
        <f>G31/MC_sim!$C$10</f>
        <v>0.06</v>
      </c>
      <c r="K31">
        <f t="shared" si="1"/>
        <v>0</v>
      </c>
      <c r="L31">
        <f t="shared" si="2"/>
        <v>6</v>
      </c>
    </row>
    <row r="32" spans="5:12" x14ac:dyDescent="0.2">
      <c r="E32">
        <v>31</v>
      </c>
      <c r="F32">
        <f t="shared" si="3"/>
        <v>8000000</v>
      </c>
      <c r="G32">
        <f t="shared" si="0"/>
        <v>2</v>
      </c>
      <c r="H32" s="64">
        <f>G32/MC_sim!$C$10</f>
        <v>0.02</v>
      </c>
      <c r="K32">
        <f t="shared" si="1"/>
        <v>0</v>
      </c>
      <c r="L32">
        <f t="shared" si="2"/>
        <v>2</v>
      </c>
    </row>
    <row r="33" spans="5:12" x14ac:dyDescent="0.2">
      <c r="E33">
        <v>32</v>
      </c>
      <c r="F33">
        <f t="shared" si="3"/>
        <v>8600000</v>
      </c>
      <c r="G33">
        <f t="shared" si="0"/>
        <v>5</v>
      </c>
      <c r="H33" s="64">
        <f>G33/MC_sim!$C$10</f>
        <v>0.05</v>
      </c>
      <c r="K33">
        <f t="shared" si="1"/>
        <v>0</v>
      </c>
      <c r="L33">
        <f t="shared" si="2"/>
        <v>5</v>
      </c>
    </row>
    <row r="34" spans="5:12" x14ac:dyDescent="0.2">
      <c r="E34">
        <v>33</v>
      </c>
      <c r="F34">
        <f t="shared" si="3"/>
        <v>9200000</v>
      </c>
      <c r="G34">
        <f t="shared" ref="G34:G52" si="4">COUNTIFS(data_new,"&gt;"&amp;F34,data_new,"&lt;="&amp;F35)</f>
        <v>4</v>
      </c>
      <c r="H34" s="64">
        <f>G34/MC_sim!$C$10</f>
        <v>0.04</v>
      </c>
      <c r="K34">
        <f t="shared" si="1"/>
        <v>0</v>
      </c>
      <c r="L34">
        <f t="shared" si="2"/>
        <v>4</v>
      </c>
    </row>
    <row r="35" spans="5:12" x14ac:dyDescent="0.2">
      <c r="E35">
        <v>34</v>
      </c>
      <c r="F35">
        <f t="shared" si="3"/>
        <v>9800000</v>
      </c>
      <c r="G35">
        <f t="shared" si="4"/>
        <v>2</v>
      </c>
      <c r="H35" s="64">
        <f>G35/MC_sim!$C$10</f>
        <v>0.02</v>
      </c>
      <c r="K35">
        <f t="shared" si="1"/>
        <v>0</v>
      </c>
      <c r="L35">
        <f t="shared" si="2"/>
        <v>2</v>
      </c>
    </row>
    <row r="36" spans="5:12" x14ac:dyDescent="0.2">
      <c r="E36">
        <v>35</v>
      </c>
      <c r="F36">
        <f t="shared" si="3"/>
        <v>10400000</v>
      </c>
      <c r="G36">
        <f t="shared" si="4"/>
        <v>2</v>
      </c>
      <c r="H36" s="64">
        <f>G36/MC_sim!$C$10</f>
        <v>0.02</v>
      </c>
      <c r="K36">
        <f t="shared" si="1"/>
        <v>0</v>
      </c>
      <c r="L36">
        <f t="shared" si="2"/>
        <v>2</v>
      </c>
    </row>
    <row r="37" spans="5:12" x14ac:dyDescent="0.2">
      <c r="E37">
        <v>36</v>
      </c>
      <c r="F37">
        <f t="shared" si="3"/>
        <v>11000000</v>
      </c>
      <c r="G37">
        <f t="shared" si="4"/>
        <v>0</v>
      </c>
      <c r="H37" s="64">
        <f>G37/MC_sim!$C$10</f>
        <v>0</v>
      </c>
      <c r="K37">
        <f t="shared" si="1"/>
        <v>0</v>
      </c>
      <c r="L37">
        <f t="shared" si="2"/>
        <v>0</v>
      </c>
    </row>
    <row r="38" spans="5:12" x14ac:dyDescent="0.2">
      <c r="E38">
        <v>37</v>
      </c>
      <c r="F38">
        <f t="shared" si="3"/>
        <v>11600000</v>
      </c>
      <c r="G38">
        <f t="shared" si="4"/>
        <v>0</v>
      </c>
      <c r="H38" s="64">
        <f>G38/MC_sim!$C$10</f>
        <v>0</v>
      </c>
      <c r="K38">
        <f t="shared" si="1"/>
        <v>0</v>
      </c>
      <c r="L38">
        <f t="shared" si="2"/>
        <v>0</v>
      </c>
    </row>
    <row r="39" spans="5:12" x14ac:dyDescent="0.2">
      <c r="E39">
        <v>38</v>
      </c>
      <c r="F39">
        <f t="shared" si="3"/>
        <v>12200000</v>
      </c>
      <c r="G39">
        <f t="shared" si="4"/>
        <v>0</v>
      </c>
      <c r="H39" s="64">
        <f>G39/MC_sim!$C$10</f>
        <v>0</v>
      </c>
      <c r="K39">
        <f t="shared" si="1"/>
        <v>0</v>
      </c>
      <c r="L39">
        <f t="shared" si="2"/>
        <v>0</v>
      </c>
    </row>
    <row r="40" spans="5:12" x14ac:dyDescent="0.2">
      <c r="E40">
        <v>39</v>
      </c>
      <c r="F40">
        <f t="shared" si="3"/>
        <v>12800000</v>
      </c>
      <c r="G40">
        <f t="shared" si="4"/>
        <v>1</v>
      </c>
      <c r="H40" s="64">
        <f>G40/MC_sim!$C$10</f>
        <v>0.01</v>
      </c>
      <c r="K40">
        <f t="shared" si="1"/>
        <v>0</v>
      </c>
      <c r="L40">
        <f t="shared" si="2"/>
        <v>1</v>
      </c>
    </row>
    <row r="41" spans="5:12" x14ac:dyDescent="0.2">
      <c r="E41">
        <v>40</v>
      </c>
      <c r="F41">
        <f t="shared" si="3"/>
        <v>13400000</v>
      </c>
      <c r="G41">
        <f t="shared" si="4"/>
        <v>0</v>
      </c>
      <c r="H41" s="64">
        <f>G41/MC_sim!$C$10</f>
        <v>0</v>
      </c>
      <c r="K41">
        <f t="shared" si="1"/>
        <v>0</v>
      </c>
      <c r="L41">
        <f t="shared" si="2"/>
        <v>0</v>
      </c>
    </row>
    <row r="42" spans="5:12" x14ac:dyDescent="0.2">
      <c r="E42">
        <v>41</v>
      </c>
      <c r="F42">
        <f t="shared" si="3"/>
        <v>14000000</v>
      </c>
      <c r="G42">
        <f t="shared" si="4"/>
        <v>0</v>
      </c>
      <c r="H42" s="64">
        <f>G42/MC_sim!$C$10</f>
        <v>0</v>
      </c>
      <c r="K42">
        <f t="shared" si="1"/>
        <v>0</v>
      </c>
      <c r="L42">
        <f t="shared" si="2"/>
        <v>0</v>
      </c>
    </row>
    <row r="43" spans="5:12" x14ac:dyDescent="0.2">
      <c r="E43">
        <v>42</v>
      </c>
      <c r="F43">
        <f t="shared" si="3"/>
        <v>14600000</v>
      </c>
      <c r="G43">
        <f t="shared" si="4"/>
        <v>0</v>
      </c>
      <c r="H43" s="64">
        <f>G43/MC_sim!$C$10</f>
        <v>0</v>
      </c>
      <c r="K43">
        <f t="shared" si="1"/>
        <v>0</v>
      </c>
      <c r="L43">
        <f t="shared" si="2"/>
        <v>0</v>
      </c>
    </row>
    <row r="44" spans="5:12" x14ac:dyDescent="0.2">
      <c r="E44">
        <v>43</v>
      </c>
      <c r="F44">
        <f t="shared" si="3"/>
        <v>15200000</v>
      </c>
      <c r="G44">
        <f t="shared" si="4"/>
        <v>0</v>
      </c>
      <c r="H44" s="64">
        <f>G44/MC_sim!$C$10</f>
        <v>0</v>
      </c>
      <c r="K44">
        <f t="shared" si="1"/>
        <v>0</v>
      </c>
      <c r="L44">
        <f t="shared" si="2"/>
        <v>0</v>
      </c>
    </row>
    <row r="45" spans="5:12" x14ac:dyDescent="0.2">
      <c r="E45">
        <v>44</v>
      </c>
      <c r="F45">
        <f t="shared" si="3"/>
        <v>15800000</v>
      </c>
      <c r="G45">
        <f t="shared" si="4"/>
        <v>0</v>
      </c>
      <c r="H45" s="64">
        <f>G45/MC_sim!$C$10</f>
        <v>0</v>
      </c>
      <c r="K45">
        <f t="shared" si="1"/>
        <v>0</v>
      </c>
      <c r="L45">
        <f t="shared" si="2"/>
        <v>0</v>
      </c>
    </row>
    <row r="46" spans="5:12" x14ac:dyDescent="0.2">
      <c r="E46">
        <v>45</v>
      </c>
      <c r="F46">
        <f t="shared" si="3"/>
        <v>16400000</v>
      </c>
      <c r="G46">
        <f t="shared" si="4"/>
        <v>0</v>
      </c>
      <c r="H46" s="64">
        <f>G46/MC_sim!$C$10</f>
        <v>0</v>
      </c>
      <c r="K46">
        <f t="shared" si="1"/>
        <v>0</v>
      </c>
      <c r="L46">
        <f t="shared" si="2"/>
        <v>0</v>
      </c>
    </row>
    <row r="47" spans="5:12" x14ac:dyDescent="0.2">
      <c r="E47">
        <v>46</v>
      </c>
      <c r="F47">
        <f t="shared" si="3"/>
        <v>17000000</v>
      </c>
      <c r="G47">
        <f t="shared" si="4"/>
        <v>0</v>
      </c>
      <c r="H47" s="64">
        <f>G47/MC_sim!$C$10</f>
        <v>0</v>
      </c>
      <c r="K47">
        <f t="shared" si="1"/>
        <v>0</v>
      </c>
      <c r="L47">
        <f t="shared" si="2"/>
        <v>0</v>
      </c>
    </row>
    <row r="48" spans="5:12" x14ac:dyDescent="0.2">
      <c r="E48">
        <v>47</v>
      </c>
      <c r="F48">
        <f t="shared" si="3"/>
        <v>17600000</v>
      </c>
      <c r="G48">
        <f t="shared" si="4"/>
        <v>0</v>
      </c>
      <c r="H48" s="64">
        <f>G48/MC_sim!$C$10</f>
        <v>0</v>
      </c>
      <c r="K48">
        <f t="shared" si="1"/>
        <v>0</v>
      </c>
      <c r="L48">
        <f t="shared" si="2"/>
        <v>0</v>
      </c>
    </row>
    <row r="49" spans="4:14" x14ac:dyDescent="0.2">
      <c r="E49">
        <v>48</v>
      </c>
      <c r="F49">
        <f t="shared" si="3"/>
        <v>18200000</v>
      </c>
      <c r="G49">
        <f t="shared" si="4"/>
        <v>0</v>
      </c>
      <c r="H49" s="64">
        <f>G49/MC_sim!$C$10</f>
        <v>0</v>
      </c>
      <c r="K49">
        <f t="shared" si="1"/>
        <v>0</v>
      </c>
      <c r="L49">
        <f t="shared" si="2"/>
        <v>0</v>
      </c>
    </row>
    <row r="50" spans="4:14" x14ac:dyDescent="0.2">
      <c r="E50">
        <v>49</v>
      </c>
      <c r="F50">
        <f t="shared" si="3"/>
        <v>18800000</v>
      </c>
      <c r="G50">
        <f t="shared" si="4"/>
        <v>0</v>
      </c>
      <c r="H50" s="64">
        <f>G50/MC_sim!$C$10</f>
        <v>0</v>
      </c>
      <c r="K50">
        <f t="shared" si="1"/>
        <v>0</v>
      </c>
      <c r="L50">
        <f t="shared" si="2"/>
        <v>0</v>
      </c>
    </row>
    <row r="51" spans="4:14" x14ac:dyDescent="0.2">
      <c r="E51">
        <v>50</v>
      </c>
      <c r="F51">
        <f t="shared" si="3"/>
        <v>19400000</v>
      </c>
      <c r="G51">
        <f t="shared" si="4"/>
        <v>0</v>
      </c>
      <c r="H51" s="64">
        <f>G51/MC_sim!$C$10</f>
        <v>0</v>
      </c>
      <c r="K51">
        <f t="shared" si="1"/>
        <v>0</v>
      </c>
      <c r="L51">
        <f t="shared" si="2"/>
        <v>0</v>
      </c>
    </row>
    <row r="52" spans="4:14" x14ac:dyDescent="0.2">
      <c r="E52">
        <v>51</v>
      </c>
      <c r="F52">
        <f t="shared" si="3"/>
        <v>20000000</v>
      </c>
      <c r="G52">
        <f t="shared" si="4"/>
        <v>0</v>
      </c>
      <c r="H52" s="64">
        <f>G52/MC_sim!$C$10</f>
        <v>0</v>
      </c>
      <c r="K52">
        <f t="shared" si="1"/>
        <v>0</v>
      </c>
      <c r="L52">
        <f t="shared" si="2"/>
        <v>0</v>
      </c>
      <c r="N52" t="s">
        <v>77</v>
      </c>
    </row>
    <row r="54" spans="4:14" x14ac:dyDescent="0.2">
      <c r="D54" s="65" t="s">
        <v>76</v>
      </c>
      <c r="E54" s="65"/>
      <c r="F54" s="65"/>
      <c r="G54" s="65">
        <f>SUM(G2:G52)</f>
        <v>100</v>
      </c>
      <c r="H54" s="66"/>
      <c r="I54" s="65"/>
      <c r="J54" s="65"/>
      <c r="K54" s="65">
        <f>SUM(K2:K52)</f>
        <v>12</v>
      </c>
      <c r="L54" s="65">
        <f>SUM(L2:L52)</f>
        <v>88</v>
      </c>
      <c r="M54" s="65"/>
      <c r="N54" s="65">
        <f>K54+L54</f>
        <v>100</v>
      </c>
    </row>
    <row r="56" spans="4:14" x14ac:dyDescent="0.2">
      <c r="D56" s="69" t="s">
        <v>78</v>
      </c>
      <c r="E56" s="67"/>
      <c r="F56" s="67"/>
      <c r="G56" s="67"/>
      <c r="H56" s="68"/>
      <c r="I56" s="67"/>
      <c r="J56" s="67"/>
      <c r="K56" s="67">
        <f>K54/$N$54</f>
        <v>0.12</v>
      </c>
      <c r="L56" s="67">
        <f>L54/$N$54</f>
        <v>0.88</v>
      </c>
      <c r="M56" s="67"/>
      <c r="N56" s="67">
        <f>K56+L56</f>
        <v>1</v>
      </c>
    </row>
  </sheetData>
  <conditionalFormatting sqref="F2:F52">
    <cfRule type="cellIs" dxfId="1" priority="1" operator="lessThan">
      <formula>0</formula>
    </cfRule>
    <cfRule type="cellIs" dxfId="0" priority="2" operator="greaterThan">
      <formula>0</formula>
    </cfRule>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0E78D-B8D8-47FC-8FCA-1F211D067333}">
  <sheetPr codeName="Sheet8">
    <tabColor theme="4" tint="0.39997558519241921"/>
  </sheetPr>
  <dimension ref="A1:S45"/>
  <sheetViews>
    <sheetView showGridLines="0" zoomScale="85" zoomScaleNormal="85" workbookViewId="0">
      <selection activeCell="F18" sqref="F18"/>
    </sheetView>
  </sheetViews>
  <sheetFormatPr baseColWidth="10" defaultColWidth="8.83203125" defaultRowHeight="15" x14ac:dyDescent="0.2"/>
  <cols>
    <col min="2" max="2" width="18.5" customWidth="1"/>
    <col min="3" max="3" width="14.6640625" customWidth="1"/>
    <col min="4" max="4" width="3" customWidth="1"/>
    <col min="5" max="5" width="25.83203125" bestFit="1" customWidth="1"/>
    <col min="6" max="6" width="23.5" bestFit="1" customWidth="1"/>
    <col min="7" max="7" width="23.33203125" customWidth="1"/>
    <col min="8" max="10" width="17.5" customWidth="1"/>
    <col min="11" max="11" width="15.1640625" bestFit="1" customWidth="1"/>
    <col min="12" max="12" width="15.33203125" customWidth="1"/>
    <col min="13" max="13" width="14.6640625" bestFit="1" customWidth="1"/>
    <col min="14" max="14" width="15.6640625" bestFit="1" customWidth="1"/>
    <col min="15" max="19" width="14.5" bestFit="1" customWidth="1"/>
  </cols>
  <sheetData>
    <row r="1" spans="2:19" ht="55.5" customHeight="1" thickBot="1" x14ac:dyDescent="0.6">
      <c r="B1" s="153" t="s">
        <v>57</v>
      </c>
      <c r="C1" s="154"/>
      <c r="D1" s="154"/>
      <c r="E1" s="154"/>
      <c r="F1" s="154"/>
      <c r="G1" s="154"/>
      <c r="H1" s="154"/>
      <c r="I1" s="154"/>
      <c r="J1" s="154"/>
      <c r="K1" s="154"/>
      <c r="L1" s="154"/>
      <c r="M1" s="154"/>
    </row>
    <row r="2" spans="2:19" x14ac:dyDescent="0.2">
      <c r="B2" s="155" t="s">
        <v>32</v>
      </c>
      <c r="C2" s="155"/>
      <c r="E2" s="156" t="s">
        <v>31</v>
      </c>
      <c r="F2" s="157"/>
      <c r="G2" s="157"/>
      <c r="H2" s="157"/>
      <c r="I2" s="157"/>
      <c r="J2" s="157"/>
      <c r="K2" s="157"/>
      <c r="L2" s="157"/>
      <c r="M2" s="157"/>
      <c r="N2" s="157"/>
      <c r="O2" s="157"/>
      <c r="P2" s="157"/>
      <c r="Q2" s="157"/>
      <c r="R2" s="157"/>
      <c r="S2" s="158"/>
    </row>
    <row r="3" spans="2:19" x14ac:dyDescent="0.2">
      <c r="B3" s="22" t="s">
        <v>0</v>
      </c>
      <c r="C3" s="16">
        <f ca="1">INV</f>
        <v>12793498.751253001</v>
      </c>
      <c r="E3" s="4" t="s">
        <v>11</v>
      </c>
      <c r="F3" s="2">
        <v>0</v>
      </c>
      <c r="G3" s="2">
        <v>1</v>
      </c>
      <c r="H3" s="2">
        <v>2</v>
      </c>
      <c r="I3" s="2">
        <v>3</v>
      </c>
      <c r="J3" s="2">
        <v>4</v>
      </c>
      <c r="K3" s="2">
        <v>5</v>
      </c>
      <c r="L3" s="2">
        <v>6</v>
      </c>
      <c r="M3" s="2">
        <v>7</v>
      </c>
      <c r="N3" s="2">
        <v>8</v>
      </c>
      <c r="O3" s="2">
        <v>9</v>
      </c>
      <c r="P3" s="2">
        <v>10</v>
      </c>
      <c r="Q3" s="2">
        <v>11</v>
      </c>
      <c r="R3" s="2">
        <v>12</v>
      </c>
      <c r="S3" s="5">
        <v>13</v>
      </c>
    </row>
    <row r="4" spans="2:19" x14ac:dyDescent="0.2">
      <c r="B4" s="22" t="s">
        <v>16</v>
      </c>
      <c r="C4" s="22">
        <f ca="1">C3/13</f>
        <v>984115.28855792317</v>
      </c>
      <c r="E4" s="6" t="s">
        <v>13</v>
      </c>
      <c r="F4" s="3">
        <f ca="1">-VLOOKUP($E$24,sc,3,FALSE)/$C$5</f>
        <v>-6396749.3756265007</v>
      </c>
      <c r="G4" s="3">
        <f ca="1">-VLOOKUP($E$24,sc,3,FALSE)/$C$5</f>
        <v>-6396749.3756265007</v>
      </c>
      <c r="H4" s="3"/>
      <c r="I4" s="3"/>
      <c r="J4" s="3"/>
      <c r="K4" s="3"/>
      <c r="L4" s="3"/>
      <c r="M4" s="3"/>
      <c r="N4" s="3"/>
      <c r="O4" s="3"/>
      <c r="P4" s="3"/>
      <c r="Q4" s="3"/>
      <c r="R4" s="3"/>
      <c r="S4" s="7"/>
    </row>
    <row r="5" spans="2:19" x14ac:dyDescent="0.2">
      <c r="B5" s="22" t="s">
        <v>19</v>
      </c>
      <c r="C5" s="22">
        <v>2</v>
      </c>
      <c r="E5" s="6" t="s">
        <v>12</v>
      </c>
      <c r="F5" s="3"/>
      <c r="G5" s="3"/>
      <c r="H5" s="3">
        <f ca="1">($C$7*VLOOKUP($E$24,sc,4,FALSE))</f>
        <v>2064955.2016358578</v>
      </c>
      <c r="I5" s="3">
        <f ca="1">($C$7*VLOOKUP($E$24,sc,4,FALSE))</f>
        <v>2064955.2016358578</v>
      </c>
      <c r="J5" s="3">
        <f ca="1">($C$7*VLOOKUP($E$24,sc,4,FALSE))</f>
        <v>2064955.2016358578</v>
      </c>
      <c r="K5" s="3">
        <f t="shared" ref="K5:S5" ca="1" si="0">($C$8*VLOOKUP($E$24,sc,4,FALSE))</f>
        <v>2622198.876335483</v>
      </c>
      <c r="L5" s="3">
        <f t="shared" ca="1" si="0"/>
        <v>2622198.876335483</v>
      </c>
      <c r="M5" s="3">
        <f t="shared" ca="1" si="0"/>
        <v>2622198.876335483</v>
      </c>
      <c r="N5" s="3">
        <f t="shared" ca="1" si="0"/>
        <v>2622198.876335483</v>
      </c>
      <c r="O5" s="3">
        <f t="shared" ca="1" si="0"/>
        <v>2622198.876335483</v>
      </c>
      <c r="P5" s="3">
        <f t="shared" ca="1" si="0"/>
        <v>2622198.876335483</v>
      </c>
      <c r="Q5" s="3">
        <f t="shared" ca="1" si="0"/>
        <v>2622198.876335483</v>
      </c>
      <c r="R5" s="3">
        <f t="shared" ca="1" si="0"/>
        <v>2622198.876335483</v>
      </c>
      <c r="S5" s="7">
        <f t="shared" ca="1" si="0"/>
        <v>2622198.876335483</v>
      </c>
    </row>
    <row r="6" spans="2:19" x14ac:dyDescent="0.2">
      <c r="B6" s="22"/>
      <c r="C6" s="22"/>
      <c r="E6" s="6" t="s">
        <v>15</v>
      </c>
      <c r="F6" s="3"/>
      <c r="G6" s="3"/>
      <c r="H6" s="3">
        <f ca="1">-($F$18*VLOOKUP($E$24,sc,5,FALSE))</f>
        <v>-640330.80195878143</v>
      </c>
      <c r="I6" s="3">
        <f ca="1">-($F$18*VLOOKUP($E$24,sc,5,FALSE))</f>
        <v>-640330.80195878143</v>
      </c>
      <c r="J6" s="3">
        <f ca="1">-($F$18*VLOOKUP($E$24,sc,5,FALSE))</f>
        <v>-640330.80195878143</v>
      </c>
      <c r="K6" s="3">
        <f t="shared" ref="K6:S6" ca="1" si="1">-($F$19*VLOOKUP($E$24,sc,5,FALSE))</f>
        <v>-813128.87952685484</v>
      </c>
      <c r="L6" s="3">
        <f t="shared" ca="1" si="1"/>
        <v>-813128.87952685484</v>
      </c>
      <c r="M6" s="3">
        <f t="shared" ca="1" si="1"/>
        <v>-813128.87952685484</v>
      </c>
      <c r="N6" s="3">
        <f t="shared" ca="1" si="1"/>
        <v>-813128.87952685484</v>
      </c>
      <c r="O6" s="3">
        <f t="shared" ca="1" si="1"/>
        <v>-813128.87952685484</v>
      </c>
      <c r="P6" s="3">
        <f t="shared" ca="1" si="1"/>
        <v>-813128.87952685484</v>
      </c>
      <c r="Q6" s="3">
        <f t="shared" ca="1" si="1"/>
        <v>-813128.87952685484</v>
      </c>
      <c r="R6" s="3">
        <f t="shared" ca="1" si="1"/>
        <v>-813128.87952685484</v>
      </c>
      <c r="S6" s="7">
        <f t="shared" ca="1" si="1"/>
        <v>-813128.87952685484</v>
      </c>
    </row>
    <row r="7" spans="2:19" x14ac:dyDescent="0.2">
      <c r="B7" s="22" t="s">
        <v>26</v>
      </c>
      <c r="C7" s="22">
        <f ca="1">Bottles_f</f>
        <v>1239074.018371773</v>
      </c>
      <c r="E7" s="6" t="s">
        <v>14</v>
      </c>
      <c r="F7" s="3">
        <f>SUM(F5:F6)</f>
        <v>0</v>
      </c>
      <c r="G7" s="3">
        <f t="shared" ref="G7:Q7" si="2">SUM(G5:G6)</f>
        <v>0</v>
      </c>
      <c r="H7" s="3">
        <f ca="1">SUM(H5:H6)</f>
        <v>1424624.3996770764</v>
      </c>
      <c r="I7" s="3">
        <f t="shared" ca="1" si="2"/>
        <v>1424624.3996770764</v>
      </c>
      <c r="J7" s="3">
        <f t="shared" ca="1" si="2"/>
        <v>1424624.3996770764</v>
      </c>
      <c r="K7" s="3">
        <f ca="1">SUM(K5:K6)</f>
        <v>1809069.9968086281</v>
      </c>
      <c r="L7" s="3">
        <f t="shared" ca="1" si="2"/>
        <v>1809069.9968086281</v>
      </c>
      <c r="M7" s="3">
        <f t="shared" ca="1" si="2"/>
        <v>1809069.9968086281</v>
      </c>
      <c r="N7" s="3">
        <f t="shared" ca="1" si="2"/>
        <v>1809069.9968086281</v>
      </c>
      <c r="O7" s="3">
        <f t="shared" ca="1" si="2"/>
        <v>1809069.9968086281</v>
      </c>
      <c r="P7" s="3">
        <f t="shared" ca="1" si="2"/>
        <v>1809069.9968086281</v>
      </c>
      <c r="Q7" s="3">
        <f t="shared" ca="1" si="2"/>
        <v>1809069.9968086281</v>
      </c>
      <c r="R7" s="3">
        <f ca="1">SUM(R5:R6)</f>
        <v>1809069.9968086281</v>
      </c>
      <c r="S7" s="7">
        <f ca="1">SUM(S5:S6) + C4</f>
        <v>2793185.285366551</v>
      </c>
    </row>
    <row r="8" spans="2:19" x14ac:dyDescent="0.2">
      <c r="B8" s="22" t="s">
        <v>27</v>
      </c>
      <c r="C8" s="20">
        <f ca="1">Bottles_a</f>
        <v>1573447.4511103285</v>
      </c>
      <c r="E8" s="6" t="s">
        <v>16</v>
      </c>
      <c r="F8" s="3"/>
      <c r="G8" s="3"/>
      <c r="H8" s="3">
        <f t="shared" ref="H8:S8" ca="1" si="3">$C$4</f>
        <v>984115.28855792317</v>
      </c>
      <c r="I8" s="3">
        <f t="shared" ca="1" si="3"/>
        <v>984115.28855792317</v>
      </c>
      <c r="J8" s="3">
        <f t="shared" ca="1" si="3"/>
        <v>984115.28855792317</v>
      </c>
      <c r="K8" s="3">
        <f t="shared" ca="1" si="3"/>
        <v>984115.28855792317</v>
      </c>
      <c r="L8" s="3">
        <f ca="1">$C$4</f>
        <v>984115.28855792317</v>
      </c>
      <c r="M8" s="3">
        <f t="shared" ca="1" si="3"/>
        <v>984115.28855792317</v>
      </c>
      <c r="N8" s="3">
        <f t="shared" ca="1" si="3"/>
        <v>984115.28855792317</v>
      </c>
      <c r="O8" s="3">
        <f t="shared" ca="1" si="3"/>
        <v>984115.28855792317</v>
      </c>
      <c r="P8" s="3">
        <f t="shared" ca="1" si="3"/>
        <v>984115.28855792317</v>
      </c>
      <c r="Q8" s="3">
        <f t="shared" ca="1" si="3"/>
        <v>984115.28855792317</v>
      </c>
      <c r="R8" s="3">
        <f t="shared" ca="1" si="3"/>
        <v>984115.28855792317</v>
      </c>
      <c r="S8" s="7">
        <f t="shared" ca="1" si="3"/>
        <v>984115.28855792317</v>
      </c>
    </row>
    <row r="9" spans="2:19" x14ac:dyDescent="0.2">
      <c r="B9" s="22" t="s">
        <v>20</v>
      </c>
      <c r="C9" s="22">
        <f ca="1">Price_sim</f>
        <v>1.6665309505475294</v>
      </c>
      <c r="E9" s="6" t="s">
        <v>17</v>
      </c>
      <c r="F9" s="3">
        <f>-(F7-F8)*$C$12</f>
        <v>0</v>
      </c>
      <c r="G9" s="3">
        <f t="shared" ref="G9:S9" si="4">-(G7-G8)*$C$12</f>
        <v>0</v>
      </c>
      <c r="H9" s="3">
        <f t="shared" ca="1" si="4"/>
        <v>-88101.822223830648</v>
      </c>
      <c r="I9" s="3">
        <f t="shared" ca="1" si="4"/>
        <v>-88101.822223830648</v>
      </c>
      <c r="J9" s="3">
        <f t="shared" ca="1" si="4"/>
        <v>-88101.822223830648</v>
      </c>
      <c r="K9" s="3">
        <f t="shared" ca="1" si="4"/>
        <v>-164990.941650141</v>
      </c>
      <c r="L9" s="3">
        <f t="shared" ca="1" si="4"/>
        <v>-164990.941650141</v>
      </c>
      <c r="M9" s="3">
        <f t="shared" ca="1" si="4"/>
        <v>-164990.941650141</v>
      </c>
      <c r="N9" s="3">
        <f t="shared" ca="1" si="4"/>
        <v>-164990.941650141</v>
      </c>
      <c r="O9" s="3">
        <f t="shared" ca="1" si="4"/>
        <v>-164990.941650141</v>
      </c>
      <c r="P9" s="3">
        <f t="shared" ca="1" si="4"/>
        <v>-164990.941650141</v>
      </c>
      <c r="Q9" s="3">
        <f t="shared" ca="1" si="4"/>
        <v>-164990.941650141</v>
      </c>
      <c r="R9" s="3">
        <f t="shared" ca="1" si="4"/>
        <v>-164990.941650141</v>
      </c>
      <c r="S9" s="7">
        <f t="shared" ca="1" si="4"/>
        <v>-361813.99936172558</v>
      </c>
    </row>
    <row r="10" spans="2:19" x14ac:dyDescent="0.2">
      <c r="B10" s="22" t="s">
        <v>44</v>
      </c>
      <c r="C10" s="16">
        <f ca="1">CPB</f>
        <v>0.51678171962658004</v>
      </c>
      <c r="E10" s="6" t="s">
        <v>6</v>
      </c>
      <c r="F10" s="3"/>
      <c r="G10" s="3"/>
      <c r="H10" s="3">
        <f>$C$16</f>
        <v>50000</v>
      </c>
      <c r="I10" s="3">
        <f t="shared" ref="I10:L10" si="5">$C$16</f>
        <v>50000</v>
      </c>
      <c r="J10" s="3">
        <f t="shared" si="5"/>
        <v>50000</v>
      </c>
      <c r="K10" s="3">
        <f t="shared" si="5"/>
        <v>50000</v>
      </c>
      <c r="L10" s="3">
        <f t="shared" si="5"/>
        <v>50000</v>
      </c>
      <c r="M10" s="3"/>
      <c r="N10" s="3"/>
      <c r="O10" s="3">
        <f>-$C$16</f>
        <v>-50000</v>
      </c>
      <c r="P10" s="3">
        <f t="shared" ref="P10:S10" si="6">-$C$16</f>
        <v>-50000</v>
      </c>
      <c r="Q10" s="3">
        <f t="shared" si="6"/>
        <v>-50000</v>
      </c>
      <c r="R10" s="3">
        <f t="shared" si="6"/>
        <v>-50000</v>
      </c>
      <c r="S10" s="7">
        <f t="shared" si="6"/>
        <v>-50000</v>
      </c>
    </row>
    <row r="11" spans="2:19" x14ac:dyDescent="0.2">
      <c r="B11" s="22"/>
      <c r="C11" s="22"/>
      <c r="E11" s="6" t="s">
        <v>18</v>
      </c>
      <c r="F11" s="3">
        <f ca="1">F4+F7+F9+F10</f>
        <v>-6396749.3756265007</v>
      </c>
      <c r="G11" s="3">
        <f t="shared" ref="G11:S11" ca="1" si="7">G4+G7+G9+G10</f>
        <v>-6396749.3756265007</v>
      </c>
      <c r="H11" s="3">
        <f t="shared" ca="1" si="7"/>
        <v>1386522.5774532456</v>
      </c>
      <c r="I11" s="3">
        <f t="shared" ca="1" si="7"/>
        <v>1386522.5774532456</v>
      </c>
      <c r="J11" s="3">
        <f t="shared" ca="1" si="7"/>
        <v>1386522.5774532456</v>
      </c>
      <c r="K11" s="3">
        <f ca="1">K4+K7+K9+K10</f>
        <v>1694079.0551584871</v>
      </c>
      <c r="L11" s="3">
        <f t="shared" ca="1" si="7"/>
        <v>1694079.0551584871</v>
      </c>
      <c r="M11" s="3">
        <f t="shared" ca="1" si="7"/>
        <v>1644079.0551584871</v>
      </c>
      <c r="N11" s="3">
        <f t="shared" ca="1" si="7"/>
        <v>1644079.0551584871</v>
      </c>
      <c r="O11" s="3">
        <f t="shared" ca="1" si="7"/>
        <v>1594079.0551584871</v>
      </c>
      <c r="P11" s="3">
        <f t="shared" ca="1" si="7"/>
        <v>1594079.0551584871</v>
      </c>
      <c r="Q11" s="3">
        <f t="shared" ca="1" si="7"/>
        <v>1594079.0551584871</v>
      </c>
      <c r="R11" s="3">
        <f t="shared" ca="1" si="7"/>
        <v>1594079.0551584871</v>
      </c>
      <c r="S11" s="7">
        <f t="shared" ca="1" si="7"/>
        <v>2381371.2860048255</v>
      </c>
    </row>
    <row r="12" spans="2:19" x14ac:dyDescent="0.2">
      <c r="B12" s="22" t="s">
        <v>2</v>
      </c>
      <c r="C12" s="22">
        <v>0.2</v>
      </c>
      <c r="E12" s="6" t="s">
        <v>21</v>
      </c>
      <c r="F12" s="3">
        <f ca="1">F11/(1+$C$15)^F3</f>
        <v>-6396749.3756265007</v>
      </c>
      <c r="G12" s="3">
        <f t="shared" ref="G12:S12" ca="1" si="8">G11/(1+$C$15)^G3</f>
        <v>-6047835.7733196001</v>
      </c>
      <c r="H12" s="3">
        <f t="shared" ca="1" si="8"/>
        <v>1239390.760143331</v>
      </c>
      <c r="I12" s="3">
        <f t="shared" ca="1" si="8"/>
        <v>1171787.6277718765</v>
      </c>
      <c r="J12" s="3">
        <f t="shared" ca="1" si="8"/>
        <v>1107871.9389843198</v>
      </c>
      <c r="K12" s="3">
        <f t="shared" ca="1" si="8"/>
        <v>1279784.7882680786</v>
      </c>
      <c r="L12" s="3">
        <f t="shared" ca="1" si="8"/>
        <v>1209978.3452716379</v>
      </c>
      <c r="M12" s="3">
        <f t="shared" ca="1" si="8"/>
        <v>1110215.472661007</v>
      </c>
      <c r="N12" s="3">
        <f t="shared" ca="1" si="8"/>
        <v>1049658.2650613156</v>
      </c>
      <c r="O12" s="3">
        <f t="shared" ca="1" si="8"/>
        <v>962223.0203836842</v>
      </c>
      <c r="P12" s="3">
        <f t="shared" ca="1" si="8"/>
        <v>909738.12836275599</v>
      </c>
      <c r="Q12" s="3">
        <f t="shared" ca="1" si="8"/>
        <v>860116.04863387835</v>
      </c>
      <c r="R12" s="3">
        <f t="shared" ca="1" si="8"/>
        <v>813200.62779930315</v>
      </c>
      <c r="S12" s="7">
        <f t="shared" ca="1" si="8"/>
        <v>1148565.1019725485</v>
      </c>
    </row>
    <row r="13" spans="2:19" x14ac:dyDescent="0.2">
      <c r="B13" s="22" t="s">
        <v>3</v>
      </c>
      <c r="C13" s="22">
        <v>0.04</v>
      </c>
      <c r="E13" s="6" t="s">
        <v>24</v>
      </c>
      <c r="F13" s="3">
        <f ca="1">SUM($F$12:F12)</f>
        <v>-6396749.3756265007</v>
      </c>
      <c r="G13" s="3">
        <f ca="1">SUM($F$12:G12)</f>
        <v>-12444585.148946101</v>
      </c>
      <c r="H13" s="3">
        <f ca="1">SUM($F$12:H12)</f>
        <v>-11205194.388802771</v>
      </c>
      <c r="I13" s="3">
        <f ca="1">SUM($F$12:I12)</f>
        <v>-10033406.761030894</v>
      </c>
      <c r="J13" s="3">
        <f ca="1">SUM($F$12:J12)</f>
        <v>-8925534.8220465742</v>
      </c>
      <c r="K13" s="3">
        <f ca="1">SUM($F$12:K12)</f>
        <v>-7645750.0337784961</v>
      </c>
      <c r="L13" s="3">
        <f ca="1">SUM($F$12:L12)</f>
        <v>-6435771.6885068584</v>
      </c>
      <c r="M13" s="3">
        <f ca="1">SUM($F$12:M12)</f>
        <v>-5325556.2158458512</v>
      </c>
      <c r="N13" s="3">
        <f ca="1">SUM($F$12:N12)</f>
        <v>-4275897.9507845361</v>
      </c>
      <c r="O13" s="3">
        <f ca="1">SUM($F$12:O12)</f>
        <v>-3313674.9304008521</v>
      </c>
      <c r="P13" s="3">
        <f ca="1">SUM($F$12:P12)</f>
        <v>-2403936.8020380959</v>
      </c>
      <c r="Q13" s="3">
        <f ca="1">SUM($F$12:Q12)</f>
        <v>-1543820.7534042175</v>
      </c>
      <c r="R13" s="3">
        <f ca="1">SUM($F$12:R12)</f>
        <v>-730620.12560491438</v>
      </c>
      <c r="S13" s="7">
        <f ca="1">SUM($F$12:S12)</f>
        <v>417944.97636763414</v>
      </c>
    </row>
    <row r="14" spans="2:19" ht="16" thickBot="1" x14ac:dyDescent="0.25">
      <c r="B14" s="22" t="s">
        <v>22</v>
      </c>
      <c r="C14" s="22">
        <v>0.1</v>
      </c>
      <c r="E14" s="8"/>
      <c r="F14" s="9"/>
      <c r="G14" s="9"/>
      <c r="H14" s="9"/>
      <c r="I14" s="9"/>
      <c r="J14" s="9"/>
      <c r="K14" s="9"/>
      <c r="L14" s="9"/>
      <c r="M14" s="9"/>
      <c r="N14" s="9"/>
      <c r="O14" s="9"/>
      <c r="P14" s="9"/>
      <c r="Q14" s="9"/>
      <c r="R14" s="9"/>
      <c r="S14" s="10"/>
    </row>
    <row r="15" spans="2:19" ht="16" thickBot="1" x14ac:dyDescent="0.25">
      <c r="B15" s="22" t="s">
        <v>23</v>
      </c>
      <c r="C15" s="22">
        <f>(1+C14)/(1+C13)-1</f>
        <v>5.7692307692307709E-2</v>
      </c>
      <c r="G15" s="11"/>
      <c r="H15" s="11"/>
      <c r="I15" s="11"/>
      <c r="J15" s="11"/>
      <c r="K15" s="11"/>
      <c r="L15" s="11"/>
      <c r="M15" s="11"/>
      <c r="N15" s="11"/>
      <c r="O15" s="11"/>
      <c r="P15" s="11"/>
      <c r="Q15" s="11"/>
      <c r="R15" s="11"/>
      <c r="S15" s="11"/>
    </row>
    <row r="16" spans="2:19" x14ac:dyDescent="0.2">
      <c r="B16" s="22" t="s">
        <v>4</v>
      </c>
      <c r="C16" s="22">
        <v>50000</v>
      </c>
      <c r="E16" s="159" t="s">
        <v>36</v>
      </c>
      <c r="F16" s="160"/>
      <c r="G16" s="11"/>
      <c r="P16" s="11"/>
      <c r="Q16" s="11"/>
      <c r="R16" s="11"/>
      <c r="S16" s="11"/>
    </row>
    <row r="17" spans="1:19" ht="16" thickBot="1" x14ac:dyDescent="0.25">
      <c r="E17" s="36" t="s">
        <v>0</v>
      </c>
      <c r="F17" s="37">
        <f ca="1">Investment*sensitivity!B3</f>
        <v>12793498.751253001</v>
      </c>
      <c r="G17" s="11"/>
      <c r="O17" s="11"/>
      <c r="P17" s="11"/>
      <c r="Q17" s="11"/>
      <c r="R17" s="11"/>
      <c r="S17" s="11"/>
    </row>
    <row r="18" spans="1:19" x14ac:dyDescent="0.2">
      <c r="B18" s="161" t="s">
        <v>5</v>
      </c>
      <c r="C18" s="162"/>
      <c r="E18" s="36" t="s">
        <v>26</v>
      </c>
      <c r="F18" s="38">
        <f ca="1">C7*sensitivity!B4</f>
        <v>1239074.018371773</v>
      </c>
      <c r="G18" s="11"/>
      <c r="O18" s="11"/>
      <c r="P18" s="11"/>
      <c r="Q18" s="11"/>
      <c r="R18" s="11"/>
      <c r="S18" s="11"/>
    </row>
    <row r="19" spans="1:19" x14ac:dyDescent="0.2">
      <c r="B19" s="6" t="s">
        <v>7</v>
      </c>
      <c r="C19" s="12">
        <f ca="1">S13</f>
        <v>417944.97636763414</v>
      </c>
      <c r="E19" s="36" t="s">
        <v>27</v>
      </c>
      <c r="F19" s="39">
        <f ca="1">C8*sensitivity!B5</f>
        <v>1573447.4511103285</v>
      </c>
      <c r="G19" s="46"/>
      <c r="O19" s="11"/>
      <c r="P19" s="11"/>
      <c r="Q19" s="11"/>
      <c r="R19" s="11"/>
      <c r="S19" s="11"/>
    </row>
    <row r="20" spans="1:19" x14ac:dyDescent="0.2">
      <c r="B20" s="6" t="s">
        <v>8</v>
      </c>
      <c r="C20" s="13">
        <f ca="1">IRR(F11:S11)</f>
        <v>6.2959288142656833E-2</v>
      </c>
      <c r="E20" s="36" t="s">
        <v>20</v>
      </c>
      <c r="F20" s="38">
        <f ca="1">C9*sensitivity!B6</f>
        <v>1.6665309505475294</v>
      </c>
    </row>
    <row r="21" spans="1:19" ht="16" thickBot="1" x14ac:dyDescent="0.25">
      <c r="B21" s="6" t="s">
        <v>9</v>
      </c>
      <c r="C21" s="14">
        <f ca="1">(C3+S13)/C3</f>
        <v>1.032668543960791</v>
      </c>
      <c r="E21" s="40" t="s">
        <v>1</v>
      </c>
      <c r="F21" s="41">
        <f ca="1">C10*sensitivity!B7</f>
        <v>0.51678171962658004</v>
      </c>
    </row>
    <row r="22" spans="1:19" ht="16" thickBot="1" x14ac:dyDescent="0.25">
      <c r="B22" s="8" t="s">
        <v>10</v>
      </c>
      <c r="C22" s="15" cm="1">
        <f t="array" aca="1" ref="C22" ca="1">MATCH(TRUE,F13:S13&gt;0,)-1</f>
        <v>13</v>
      </c>
    </row>
    <row r="23" spans="1:19" x14ac:dyDescent="0.2">
      <c r="E23" s="163" t="s">
        <v>45</v>
      </c>
      <c r="F23" s="164"/>
      <c r="G23" s="164"/>
      <c r="H23" s="164"/>
      <c r="I23" s="164"/>
      <c r="J23" s="165"/>
    </row>
    <row r="24" spans="1:19" x14ac:dyDescent="0.2">
      <c r="A24" s="55"/>
      <c r="B24" s="55"/>
      <c r="C24" s="55"/>
      <c r="E24" s="42">
        <v>2</v>
      </c>
      <c r="F24" s="35"/>
      <c r="G24" s="35" t="s">
        <v>43</v>
      </c>
      <c r="H24" s="35" t="s">
        <v>0</v>
      </c>
      <c r="I24" s="35" t="s">
        <v>20</v>
      </c>
      <c r="J24" s="43" t="s">
        <v>44</v>
      </c>
    </row>
    <row r="25" spans="1:19" ht="15" customHeight="1" x14ac:dyDescent="0.2">
      <c r="E25" s="42"/>
      <c r="F25" s="18">
        <v>1</v>
      </c>
      <c r="G25" s="18" t="s">
        <v>40</v>
      </c>
      <c r="H25" s="16">
        <f ca="1">Investment*1.1</f>
        <v>14072848.626378303</v>
      </c>
      <c r="I25" s="16">
        <f ca="1">Price*0.9</f>
        <v>1.4998778554927765</v>
      </c>
      <c r="J25" s="37">
        <f ca="1">Cost_per_botle*1.2</f>
        <v>0.62013806355189605</v>
      </c>
    </row>
    <row r="26" spans="1:19" x14ac:dyDescent="0.2">
      <c r="E26" s="42" t="s">
        <v>46</v>
      </c>
      <c r="F26" s="18">
        <v>2</v>
      </c>
      <c r="G26" s="18" t="s">
        <v>42</v>
      </c>
      <c r="H26" s="16">
        <f ca="1">Investment*sensitivity!B3*1</f>
        <v>12793498.751253001</v>
      </c>
      <c r="I26" s="16">
        <f ca="1">C9*sensitivity!B6*1</f>
        <v>1.6665309505475294</v>
      </c>
      <c r="J26" s="37">
        <f ca="1">C10*sensitivity!B7*1</f>
        <v>0.51678171962658004</v>
      </c>
    </row>
    <row r="27" spans="1:19" ht="16" thickBot="1" x14ac:dyDescent="0.25">
      <c r="E27" s="44"/>
      <c r="F27" s="45">
        <v>3</v>
      </c>
      <c r="G27" s="45" t="s">
        <v>41</v>
      </c>
      <c r="H27" s="16">
        <f ca="1">Investment*0.9</f>
        <v>11514148.876127701</v>
      </c>
      <c r="I27" s="16">
        <f ca="1">Price*1.1</f>
        <v>1.8331840456022825</v>
      </c>
      <c r="J27" s="37">
        <f ca="1">Cost_per_botle*1</f>
        <v>0.51678171962658004</v>
      </c>
    </row>
    <row r="28" spans="1:19" ht="6" customHeight="1" x14ac:dyDescent="0.2"/>
    <row r="29" spans="1:19" ht="6" customHeight="1" x14ac:dyDescent="0.2">
      <c r="B29" s="57"/>
      <c r="C29" s="57"/>
    </row>
    <row r="30" spans="1:19" ht="6" customHeight="1" x14ac:dyDescent="0.2">
      <c r="B30" s="57"/>
      <c r="C30" s="57"/>
    </row>
    <row r="31" spans="1:19" x14ac:dyDescent="0.2">
      <c r="B31" s="57"/>
      <c r="C31" s="57"/>
      <c r="E31" s="166" t="s">
        <v>51</v>
      </c>
      <c r="F31" s="167"/>
      <c r="G31" s="167"/>
      <c r="H31" s="168"/>
    </row>
    <row r="32" spans="1:19" x14ac:dyDescent="0.2">
      <c r="B32" s="57"/>
      <c r="C32" s="57"/>
      <c r="E32" s="18"/>
      <c r="F32" s="17" t="s">
        <v>28</v>
      </c>
      <c r="G32" s="21" t="s">
        <v>52</v>
      </c>
      <c r="H32" s="19" t="s">
        <v>29</v>
      </c>
    </row>
    <row r="33" spans="5:19" ht="19.5" customHeight="1" x14ac:dyDescent="0.2">
      <c r="E33" s="18" t="s">
        <v>0</v>
      </c>
      <c r="F33" s="16">
        <v>10000000</v>
      </c>
      <c r="G33" s="33" t="s">
        <v>37</v>
      </c>
      <c r="H33" s="16">
        <v>15853095.979656352</v>
      </c>
    </row>
    <row r="34" spans="5:19" ht="19.5" customHeight="1" x14ac:dyDescent="0.2">
      <c r="E34" s="18" t="s">
        <v>30</v>
      </c>
      <c r="F34" s="20">
        <v>1500000</v>
      </c>
      <c r="G34" s="18" t="s">
        <v>38</v>
      </c>
      <c r="H34" s="20">
        <v>771847.06658422877</v>
      </c>
    </row>
    <row r="35" spans="5:19" ht="19.5" customHeight="1" x14ac:dyDescent="0.2">
      <c r="E35" s="18" t="s">
        <v>1</v>
      </c>
      <c r="F35" s="16">
        <v>0.5</v>
      </c>
      <c r="G35" s="18" t="s">
        <v>39</v>
      </c>
      <c r="H35" s="16">
        <v>1.0566001996539747</v>
      </c>
    </row>
    <row r="36" spans="5:19" ht="16" thickBot="1" x14ac:dyDescent="0.25"/>
    <row r="37" spans="5:19" x14ac:dyDescent="0.2">
      <c r="E37" s="150" t="s">
        <v>33</v>
      </c>
      <c r="F37" s="151"/>
      <c r="G37" s="151"/>
      <c r="H37" s="151"/>
      <c r="I37" s="151"/>
      <c r="J37" s="152"/>
      <c r="K37" s="1"/>
      <c r="L37" s="1"/>
      <c r="M37" s="1"/>
      <c r="N37" s="1"/>
      <c r="O37" s="1"/>
      <c r="P37" s="1"/>
      <c r="Q37" s="1"/>
      <c r="R37" s="1"/>
      <c r="S37" s="1"/>
    </row>
    <row r="38" spans="5:19" x14ac:dyDescent="0.2">
      <c r="E38" s="56" t="s">
        <v>25</v>
      </c>
      <c r="F38" s="57"/>
      <c r="I38" s="11"/>
      <c r="J38" s="58"/>
      <c r="K38" s="1"/>
      <c r="L38" s="1"/>
      <c r="M38" s="1"/>
      <c r="N38" s="1"/>
      <c r="O38" s="1"/>
      <c r="P38" s="1"/>
      <c r="Q38" s="1"/>
      <c r="R38" s="1"/>
      <c r="S38" s="1"/>
    </row>
    <row r="39" spans="5:19" x14ac:dyDescent="0.2">
      <c r="E39" s="56" t="s">
        <v>34</v>
      </c>
      <c r="F39" s="57"/>
      <c r="I39" s="11"/>
      <c r="J39" s="58"/>
      <c r="K39" s="1"/>
      <c r="L39" s="1"/>
      <c r="M39" s="1"/>
      <c r="N39" s="1"/>
      <c r="O39" s="1"/>
      <c r="P39" s="1"/>
      <c r="Q39" s="1"/>
      <c r="R39" s="1"/>
      <c r="S39" s="1"/>
    </row>
    <row r="40" spans="5:19" x14ac:dyDescent="0.2">
      <c r="E40" s="56" t="s">
        <v>47</v>
      </c>
      <c r="F40" s="57"/>
      <c r="G40" s="11"/>
      <c r="H40" s="11"/>
      <c r="I40" s="11"/>
      <c r="J40" s="58"/>
      <c r="K40" s="1"/>
      <c r="L40" s="1"/>
      <c r="M40" s="1"/>
      <c r="N40" s="1"/>
      <c r="O40" s="1"/>
      <c r="P40" s="1"/>
      <c r="Q40" s="1"/>
      <c r="R40" s="1"/>
      <c r="S40" s="1"/>
    </row>
    <row r="41" spans="5:19" x14ac:dyDescent="0.2">
      <c r="E41" s="56" t="s">
        <v>48</v>
      </c>
      <c r="F41" s="57"/>
      <c r="G41" s="11"/>
      <c r="H41" s="11"/>
      <c r="I41" s="11"/>
      <c r="J41" s="58"/>
      <c r="K41" s="1"/>
      <c r="L41" s="1"/>
      <c r="M41" s="1"/>
      <c r="N41" s="1"/>
      <c r="O41" s="1"/>
      <c r="P41" s="1"/>
      <c r="Q41" s="1"/>
      <c r="R41" s="1"/>
      <c r="S41" s="1"/>
    </row>
    <row r="42" spans="5:19" ht="16" thickBot="1" x14ac:dyDescent="0.25">
      <c r="E42" s="59"/>
      <c r="F42" s="60"/>
      <c r="G42" s="60"/>
      <c r="H42" s="60"/>
      <c r="I42" s="60"/>
      <c r="J42" s="61"/>
      <c r="K42" s="1"/>
      <c r="L42" s="1"/>
      <c r="M42" s="1"/>
      <c r="N42" s="1"/>
      <c r="O42" s="1"/>
      <c r="P42" s="1"/>
      <c r="Q42" s="1"/>
      <c r="R42" s="1"/>
      <c r="S42" s="1"/>
    </row>
    <row r="43" spans="5:19" x14ac:dyDescent="0.2">
      <c r="F43" s="1"/>
      <c r="G43" s="1"/>
      <c r="H43" s="1"/>
      <c r="I43" s="1"/>
      <c r="J43" s="1"/>
      <c r="K43" s="1"/>
      <c r="L43" s="1"/>
      <c r="M43" s="1"/>
      <c r="N43" s="1"/>
      <c r="O43" s="1"/>
      <c r="P43" s="1"/>
      <c r="Q43" s="1"/>
      <c r="R43" s="1"/>
      <c r="S43" s="1"/>
    </row>
    <row r="44" spans="5:19" x14ac:dyDescent="0.2">
      <c r="F44" s="1"/>
      <c r="G44" s="1"/>
      <c r="H44" s="1"/>
      <c r="I44" s="1"/>
      <c r="J44" s="1"/>
      <c r="K44" s="1"/>
      <c r="L44" s="1"/>
      <c r="M44" s="1"/>
      <c r="N44" s="1"/>
      <c r="O44" s="1"/>
      <c r="P44" s="1"/>
      <c r="Q44" s="1"/>
      <c r="R44" s="1"/>
      <c r="S44" s="1"/>
    </row>
    <row r="45" spans="5:19" x14ac:dyDescent="0.2">
      <c r="F45" s="1"/>
      <c r="G45" s="1"/>
      <c r="H45" s="1"/>
      <c r="I45" s="1"/>
      <c r="J45" s="1"/>
      <c r="K45" s="1"/>
      <c r="L45" s="1"/>
      <c r="M45" s="1"/>
      <c r="N45" s="1"/>
      <c r="O45" s="1"/>
      <c r="P45" s="1"/>
      <c r="Q45" s="1"/>
      <c r="R45" s="1"/>
      <c r="S45" s="1"/>
    </row>
  </sheetData>
  <scenarios current="0" show="0" sqref="C19">
    <scenario name="Pessimistic" locked="1" count="3" user="Eero Lindholm" comment="Created 6.3.2024">
      <inputCells r="C3" val="11000000" numFmtId="164"/>
      <inputCells r="C9" val="1,8"/>
      <inputCells r="C10" val="0,55" numFmtId="164"/>
    </scenario>
    <scenario name="Optimistic" locked="1" count="3" user="Eero Lindholm" comment="Created 6.3.2024">
      <inputCells r="C3" val="9000000" numFmtId="164"/>
      <inputCells r="C9" val="2,2"/>
      <inputCells r="C10" val="0,5" numFmtId="164"/>
    </scenario>
    <scenario name="Realistic" locked="1" count="3" user="Eero Lindholm" comment="Created 6.3.2024">
      <inputCells r="C3" val="10000000" numFmtId="164"/>
      <inputCells r="C9" val="2"/>
      <inputCells r="C10" val="0,5" numFmtId="164"/>
    </scenario>
  </scenarios>
  <mergeCells count="8">
    <mergeCell ref="E37:J37"/>
    <mergeCell ref="B1:M1"/>
    <mergeCell ref="B2:C2"/>
    <mergeCell ref="E2:S2"/>
    <mergeCell ref="E16:F16"/>
    <mergeCell ref="B18:C18"/>
    <mergeCell ref="E23:J23"/>
    <mergeCell ref="E31:H31"/>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Option Button 1">
              <controlPr defaultSize="0" autoFill="0" autoLine="0" autoPict="0">
                <anchor moveWithCells="1">
                  <from>
                    <xdr:col>4</xdr:col>
                    <xdr:colOff>508000</xdr:colOff>
                    <xdr:row>23</xdr:row>
                    <xdr:rowOff>177800</xdr:rowOff>
                  </from>
                  <to>
                    <xdr:col>4</xdr:col>
                    <xdr:colOff>685800</xdr:colOff>
                    <xdr:row>25</xdr:row>
                    <xdr:rowOff>0</xdr:rowOff>
                  </to>
                </anchor>
              </controlPr>
            </control>
          </mc:Choice>
        </mc:AlternateContent>
        <mc:AlternateContent xmlns:mc="http://schemas.openxmlformats.org/markup-compatibility/2006">
          <mc:Choice Requires="x14">
            <control shapeId="13314" r:id="rId5" name="Option Button 2">
              <controlPr defaultSize="0" autoFill="0" autoLine="0" autoPict="0">
                <anchor moveWithCells="1">
                  <from>
                    <xdr:col>4</xdr:col>
                    <xdr:colOff>508000</xdr:colOff>
                    <xdr:row>24</xdr:row>
                    <xdr:rowOff>177800</xdr:rowOff>
                  </from>
                  <to>
                    <xdr:col>4</xdr:col>
                    <xdr:colOff>711200</xdr:colOff>
                    <xdr:row>26</xdr:row>
                    <xdr:rowOff>25400</xdr:rowOff>
                  </to>
                </anchor>
              </controlPr>
            </control>
          </mc:Choice>
        </mc:AlternateContent>
        <mc:AlternateContent xmlns:mc="http://schemas.openxmlformats.org/markup-compatibility/2006">
          <mc:Choice Requires="x14">
            <control shapeId="13315" r:id="rId6" name="Option Button 3">
              <controlPr defaultSize="0" autoFill="0" autoLine="0" autoPict="0">
                <anchor moveWithCells="1">
                  <from>
                    <xdr:col>4</xdr:col>
                    <xdr:colOff>508000</xdr:colOff>
                    <xdr:row>25</xdr:row>
                    <xdr:rowOff>165100</xdr:rowOff>
                  </from>
                  <to>
                    <xdr:col>4</xdr:col>
                    <xdr:colOff>762000</xdr:colOff>
                    <xdr:row>27</xdr:row>
                    <xdr:rowOff>63500</xdr:rowOff>
                  </to>
                </anchor>
              </controlPr>
            </control>
          </mc:Choice>
        </mc:AlternateContent>
      </controls>
    </mc:Choice>
  </mc:AlternateContent>
</worksheet>
</file>

<file path=docMetadata/LabelInfo.xml><?xml version="1.0" encoding="utf-8"?>
<clbl:labelList xmlns:clbl="http://schemas.microsoft.com/office/2020/mipLabelMetadata">
  <clbl:label id="{9d97530e-8f27-4137-a2a9-5cb4dcf26f2e}" enabled="0" method="" siteId="{9d97530e-8f27-4137-a2a9-5cb4dcf26f2e}"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25</vt:i4>
      </vt:variant>
    </vt:vector>
  </HeadingPairs>
  <TitlesOfParts>
    <vt:vector size="33" baseType="lpstr">
      <vt:lpstr>Read_me</vt:lpstr>
      <vt:lpstr>Data &amp; Calculations</vt:lpstr>
      <vt:lpstr>Report (print)</vt:lpstr>
      <vt:lpstr>sensitivity</vt:lpstr>
      <vt:lpstr>MC_sim</vt:lpstr>
      <vt:lpstr>MC_data</vt:lpstr>
      <vt:lpstr>MC_hist</vt:lpstr>
      <vt:lpstr>Calculations</vt:lpstr>
      <vt:lpstr>BF3Y</vt:lpstr>
      <vt:lpstr>Bins</vt:lpstr>
      <vt:lpstr>Bottles_a</vt:lpstr>
      <vt:lpstr>Bottles_f</vt:lpstr>
      <vt:lpstr>Calculations!Cost_per_botle</vt:lpstr>
      <vt:lpstr>Cost_per_botle</vt:lpstr>
      <vt:lpstr>CPB</vt:lpstr>
      <vt:lpstr>data</vt:lpstr>
      <vt:lpstr>data_hist</vt:lpstr>
      <vt:lpstr>data_new</vt:lpstr>
      <vt:lpstr>INV</vt:lpstr>
      <vt:lpstr>Calculations!Investment</vt:lpstr>
      <vt:lpstr>Investment</vt:lpstr>
      <vt:lpstr>Maximi</vt:lpstr>
      <vt:lpstr>Mean</vt:lpstr>
      <vt:lpstr>Minimi</vt:lpstr>
      <vt:lpstr>Neg_share</vt:lpstr>
      <vt:lpstr>Pos_share</vt:lpstr>
      <vt:lpstr>Calculations!Price</vt:lpstr>
      <vt:lpstr>Price</vt:lpstr>
      <vt:lpstr>Price_sim</vt:lpstr>
      <vt:lpstr>'Report (print)'!Print_Area</vt:lpstr>
      <vt:lpstr>rep</vt:lpstr>
      <vt:lpstr>Calculations!sc</vt:lpstr>
      <vt:lpstr>sc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Eero Lindholm</dc:creator>
  <cp:lastModifiedBy>eero lindholm</cp:lastModifiedBy>
  <cp:lastPrinted>2026-02-10T12:36:27Z</cp:lastPrinted>
  <dcterms:created xsi:type="dcterms:W3CDTF">2024-03-04T13:50:57Z</dcterms:created>
  <dcterms:modified xsi:type="dcterms:W3CDTF">2026-02-10T13:08:04Z</dcterms:modified>
</cp:coreProperties>
</file>